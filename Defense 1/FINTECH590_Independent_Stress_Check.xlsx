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e15fdd917948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3982f8a5cf149b5"/>
    <x:sheet xmlns:r="http://schemas.openxmlformats.org/officeDocument/2006/relationships" name="Source" sheetId="2" r:id="R7db88e708ff041ba"/>
    <x:sheet xmlns:r="http://schemas.openxmlformats.org/officeDocument/2006/relationships" name="Assumptions" sheetId="3" r:id="Ra77f0d4001e34280"/>
    <x:sheet xmlns:r="http://schemas.openxmlformats.org/officeDocument/2006/relationships" name="Paths" sheetId="4" r:id="R2e0b5e09ece84e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"/>
    <x:numFmt numFmtId="201" formatCode="#,##0"/>
    <x:numFmt numFmtId="202" formatCode="0.0000"/>
    <x:numFmt numFmtId="203" formatCode="0.00%"/>
    <x:numFmt numFmtId="204" formatCode="0.0000%"/>
  </x:numFmts>
  <x:fonts count="4">
    <x:font>
      <x:sz val="11"/>
      <x:name val="Carlito"/>
    </x:font>
    <x:font>
      <x:sz val="10"/>
      <x:color rgb="FF000000"/>
      <x:name val="Arial"/>
    </x:font>
    <x:font>
      <x:b/>
      <x:sz val="15"/>
      <x:color rgb="FF000000"/>
      <x:name val="Arial"/>
    </x:font>
    <x:font>
      <x:b/>
      <x:sz val="10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2">
    <x:border/>
    <x:border>
      <x:bottom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200" fontId="1" fillId="0" borderId="0" xfId="0" applyNumberFormat="1" applyFont="1" applyFill="1" applyBorder="1"/>
    <x:xf numFmtId="0" fontId="1" fillId="0" borderId="1" xfId="0" applyNumberFormat="1" applyFont="1" applyFill="1" applyBorder="1"/>
    <x:xf numFmtId="20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903839838148c5" /><Relationship Type="http://schemas.openxmlformats.org/officeDocument/2006/relationships/theme" Target="/xl/theme/theme1.xml" Id="R3227a7079de047ff" /><Relationship Type="http://schemas.openxmlformats.org/officeDocument/2006/relationships/sharedStrings" Target="/xl/sharedStrings.xml" Id="Ra763e39e1fd7492a" /><Relationship Type="http://schemas.openxmlformats.org/officeDocument/2006/relationships/worksheet" Target="/xl/worksheets/sheet1.xml" Id="Rf3982f8a5cf149b5" /><Relationship Type="http://schemas.openxmlformats.org/officeDocument/2006/relationships/worksheet" Target="/xl/worksheets/sheet2.xml" Id="R7db88e708ff041ba" /><Relationship Type="http://schemas.openxmlformats.org/officeDocument/2006/relationships/worksheet" Target="/xl/worksheets/sheet3.xml" Id="Ra77f0d4001e34280" /><Relationship Type="http://schemas.openxmlformats.org/officeDocument/2006/relationships/worksheet" Target="/xl/worksheets/sheet4.xml" Id="R2e0b5e09ece84e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>
      <x:c r="A1" s="3" t="str">
        <x:v>FINTECH 590 | Independent stress-path check</x:v>
      </x:c>
      <x:c r="B1" s="3"/>
      <x:c r="C1" s="3"/>
      <x:c r="D1" s="3"/>
      <x:c r="E1" s="3"/>
      <x:c r="F1" s="3"/>
      <x:c r="G1" s="3"/>
      <x:c r="H1" s="3"/>
      <x:c r="I1" s="1"/>
      <x:c r="J1" s="1"/>
      <x:c r="K1" s="1"/>
      <x:c r="L1" s="1"/>
      <x:c r="M1" s="1"/>
      <x:c r="N1" s="1"/>
      <x:c r="O1" s="1"/>
      <x:c r="P1" s="1"/>
    </x:row>
    <x:row r="2" ht="27" customHeight="1">
      <x:c r="A2" s="9" t="str">
        <x:v>FR Y-9C 2026-06-30; five holding companies; values in USD thousands unless marked as ratios.</x:v>
      </x:c>
      <x:c r="B2" s="9"/>
      <x:c r="C2" s="9"/>
      <x:c r="D2" s="9"/>
      <x:c r="E2" s="9"/>
      <x:c r="F2" s="9"/>
      <x:c r="G2" s="9"/>
      <x:c r="H2" s="9"/>
      <x:c r="I2" s="1"/>
      <x:c r="J2" s="1"/>
      <x:c r="K2" s="1"/>
      <x:c r="L2" s="1"/>
      <x:c r="M2" s="1"/>
      <x:c r="N2" s="1"/>
      <x:c r="O2" s="1"/>
      <x:c r="P2" s="1"/>
    </x:row>
    <x:row r="3" ht="27" customHeight="1">
      <x:c r="A3" s="9" t="str">
        <x:v>Q9 under assignment quarter-by-quarter rules; 150/150 team rows checked against raw-source recomputation.</x:v>
      </x:c>
      <x:c r="B3" s="9"/>
      <x:c r="C3" s="9"/>
      <x:c r="D3" s="9"/>
      <x:c r="E3" s="9"/>
      <x:c r="F3" s="9"/>
      <x:c r="G3" s="9"/>
      <x:c r="H3" s="9"/>
      <x:c r="I3" s="1"/>
      <x:c r="J3" s="1"/>
      <x:c r="K3" s="1"/>
      <x:c r="L3" s="1"/>
      <x:c r="M3" s="1"/>
      <x:c r="N3" s="1"/>
      <x:c r="O3" s="1"/>
      <x:c r="P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34" customHeight="1">
      <x:c r="A5" s="10" t="str">
        <x:v>Bank</x:v>
      </x:c>
      <x:c r="B5" s="10" t="str">
        <x:v>Q0 Tier 1</x:v>
      </x:c>
      <x:c r="C5" s="10" t="str">
        <x:v>Q0 gap</x:v>
      </x:c>
      <x:c r="D5" s="10" t="str">
        <x:v>Adverse Q9 Tier 1</x:v>
      </x:c>
      <x:c r="E5" s="10" t="str">
        <x:v>Adverse Q9 gap</x:v>
      </x:c>
      <x:c r="F5" s="10" t="str">
        <x:v>Severe Q9 Tier 1</x:v>
      </x:c>
      <x:c r="G5" s="10" t="str">
        <x:v>Severe Q9 gap</x:v>
      </x:c>
      <x:c r="H5" s="10" t="str">
        <x:v>Severe Q4 Tier 1</x:v>
      </x:c>
      <x:c r="I5" s="1"/>
      <x:c r="J5" s="1"/>
      <x:c r="K5" s="1"/>
      <x:c r="L5" s="1"/>
      <x:c r="M5" s="1"/>
      <x:c r="N5" s="1"/>
      <x:c r="O5" s="1"/>
      <x:c r="P5" s="1"/>
    </x:row>
    <x:row r="6">
      <x:c r="A6" s="1" t="str">
        <x:v>Bank of America</x:v>
      </x:c>
      <x:c r="B6" s="6" t="n">
        <x:f>'Source'!K5</x:f>
        <x:v>0.1264187853824513</x:v>
      </x:c>
      <x:c r="C6" s="6" t="n">
        <x:f>'Source'!L5</x:f>
        <x:v>0.37102575995422943</x:v>
      </x:c>
      <x:c r="D6" s="6" t="n">
        <x:f>'Paths'!F24</x:f>
        <x:v>0.1164187853824513</x:v>
      </x:c>
      <x:c r="E6" s="6" t="n">
        <x:f>'Paths'!G24</x:f>
        <x:v>0.34208872850896105</x:v>
      </x:c>
      <x:c r="F6" s="6" t="n">
        <x:f>'Paths'!F34</x:f>
        <x:v>0.1134187853824513</x:v>
      </x:c>
      <x:c r="G6" s="6" t="n">
        <x:f>'Paths'!G34</x:f>
        <x:v>0.2842146656184244</x:v>
      </x:c>
      <x:c r="H6" s="6" t="n">
        <x:f>'Paths'!F29</x:f>
        <x:v>0.1084187853824513</x:v>
      </x:c>
      <x:c r="I6" s="1"/>
      <x:c r="J6" s="1"/>
      <x:c r="K6" s="1"/>
      <x:c r="L6" s="1"/>
      <x:c r="M6" s="1"/>
      <x:c r="N6" s="1"/>
      <x:c r="O6" s="1"/>
      <x:c r="P6" s="1"/>
    </x:row>
    <x:row r="7">
      <x:c r="A7" s="1" t="str">
        <x:v>Citigroup</x:v>
      </x:c>
      <x:c r="B7" s="6" t="n">
        <x:f>'Source'!K6</x:f>
        <x:v>0.1468308679073187</x:v>
      </x:c>
      <x:c r="C7" s="6" t="n">
        <x:f>'Source'!L6</x:f>
        <x:v>0.3949204291773732</x:v>
      </x:c>
      <x:c r="D7" s="6" t="n">
        <x:f>'Paths'!F54</x:f>
        <x:v>0.1368308679073187</x:v>
      </x:c>
      <x:c r="E7" s="6" t="n">
        <x:f>'Paths'!G54</x:f>
        <x:v>0.36891441947811376</x:v>
      </x:c>
      <x:c r="F7" s="6" t="n">
        <x:f>'Paths'!F64</x:f>
        <x:v>0.1338308679073187</x:v>
      </x:c>
      <x:c r="G7" s="6" t="n">
        <x:f>'Paths'!G64</x:f>
        <x:v>0.316902400079595</x:v>
      </x:c>
      <x:c r="H7" s="6" t="n">
        <x:f>'Paths'!F59</x:f>
        <x:v>0.1288308679073187</x:v>
      </x:c>
      <x:c r="I7" s="1"/>
      <x:c r="J7" s="1"/>
      <x:c r="K7" s="1"/>
      <x:c r="L7" s="1"/>
      <x:c r="M7" s="1"/>
      <x:c r="N7" s="1"/>
      <x:c r="O7" s="1"/>
      <x:c r="P7" s="1"/>
    </x:row>
    <x:row r="8">
      <x:c r="A8" s="1" t="str">
        <x:v>Goldman Sachs</x:v>
      </x:c>
      <x:c r="B8" s="6" t="n">
        <x:f>'Source'!K7</x:f>
        <x:v>0.14467014064555297</x:v>
      </x:c>
      <x:c r="C8" s="6" t="n">
        <x:f>'Source'!L7</x:f>
        <x:v>0.3734675432894787</x:v>
      </x:c>
      <x:c r="D8" s="6" t="n">
        <x:f>'Paths'!F84</x:f>
        <x:v>0.13467014064555297</x:v>
      </x:c>
      <x:c r="E8" s="6" t="n">
        <x:f>'Paths'!G84</x:f>
        <x:v>0.36038879340286345</x:v>
      </x:c>
      <x:c r="F8" s="6" t="n">
        <x:f>'Paths'!F94</x:f>
        <x:v>0.131670140645553</x:v>
      </x:c>
      <x:c r="G8" s="6" t="n">
        <x:f>'Paths'!G94</x:f>
        <x:v>0.334231293629633</x:v>
      </x:c>
      <x:c r="H8" s="6" t="n">
        <x:f>'Paths'!F89</x:f>
        <x:v>0.126670140645553</x:v>
      </x:c>
      <x:c r="I8" s="1"/>
      <x:c r="J8" s="1"/>
      <x:c r="K8" s="1"/>
      <x:c r="L8" s="1"/>
      <x:c r="M8" s="1"/>
      <x:c r="N8" s="1"/>
      <x:c r="O8" s="1"/>
      <x:c r="P8" s="1"/>
    </x:row>
    <x:row r="9">
      <x:c r="A9" s="1" t="str">
        <x:v>JPMorgan Chase</x:v>
      </x:c>
      <x:c r="B9" s="6" t="n">
        <x:f>'Source'!K8</x:f>
        <x:v>0.15133924268088156</x:v>
      </x:c>
      <x:c r="C9" s="6" t="n">
        <x:f>'Source'!L8</x:f>
        <x:v>0.29675344446905916</x:v>
      </x:c>
      <x:c r="D9" s="6" t="n">
        <x:f>'Paths'!F114</x:f>
        <x:v>0.14133924268088155</x:v>
      </x:c>
      <x:c r="E9" s="6" t="n">
        <x:f>'Paths'!G114</x:f>
        <x:v>0.2696979842151723</x:v>
      </x:c>
      <x:c r="F9" s="6" t="n">
        <x:f>'Paths'!F124</x:f>
        <x:v>0.13833924268088157</x:v>
      </x:c>
      <x:c r="G9" s="6" t="n">
        <x:f>'Paths'!G124</x:f>
        <x:v>0.21558706370739864</x:v>
      </x:c>
      <x:c r="H9" s="6" t="n">
        <x:f>'Paths'!F119</x:f>
        <x:v>0.13333924268088157</x:v>
      </x:c>
      <x:c r="I9" s="1"/>
      <x:c r="J9" s="1"/>
      <x:c r="K9" s="1"/>
      <x:c r="L9" s="1"/>
      <x:c r="M9" s="1"/>
      <x:c r="N9" s="1"/>
      <x:c r="O9" s="1"/>
      <x:c r="P9" s="1"/>
    </x:row>
    <x:row r="10">
      <x:c r="A10" s="7" t="str">
        <x:v>Wells Fargo</x:v>
      </x:c>
      <x:c r="B10" s="8" t="n">
        <x:f>'Source'!K9</x:f>
        <x:v>0.11378543676929191</x:v>
      </x:c>
      <x:c r="C10" s="8" t="n">
        <x:f>'Source'!L9</x:f>
        <x:v>0.3626393994218739</x:v>
      </x:c>
      <x:c r="D10" s="8" t="n">
        <x:f>'Paths'!F144</x:f>
        <x:v>0.10378543676929192</x:v>
      </x:c>
      <x:c r="E10" s="8" t="n">
        <x:f>'Paths'!G144</x:f>
        <x:v>0.32974404971341265</x:v>
      </x:c>
      <x:c r="F10" s="8" t="n">
        <x:f>'Paths'!F154</x:f>
        <x:v>0.10078543676929191</x:v>
      </x:c>
      <x:c r="G10" s="8" t="n">
        <x:f>'Paths'!G154</x:f>
        <x:v>0.2639533502964901</x:v>
      </x:c>
      <x:c r="H10" s="8" t="n">
        <x:f>'Paths'!F149</x:f>
        <x:v>0.09578543676929191</x:v>
      </x:c>
      <x:c r="I10" s="1"/>
      <x:c r="J10" s="1"/>
      <x:c r="K10" s="1"/>
      <x:c r="L10" s="1"/>
      <x:c r="M10" s="1"/>
      <x:c r="N10" s="1"/>
      <x:c r="O10" s="1"/>
      <x:c r="P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</x:row>
    <x:row r="12">
      <x:c r="A12" s="1" t="str">
        <x:v>Interpretation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</x:row>
    <x:row r="13" ht="27" customHeight="1">
      <x:c r="A13" s="9" t="str">
        <x:v>JPMorgan has the lowest 12-month repricing-gap proxy in both adverse scenarios; Wells has the lowest severe-path Tier 1 ratio.</x:v>
      </x:c>
      <x:c r="B13" s="9"/>
      <x:c r="C13" s="9"/>
      <x:c r="D13" s="9"/>
      <x:c r="E13" s="9"/>
      <x:c r="F13" s="9"/>
      <x:c r="G13" s="9"/>
      <x:c r="H13" s="9"/>
      <x:c r="I13" s="1"/>
      <x:c r="J13" s="1"/>
      <x:c r="K13" s="1"/>
      <x:c r="L13" s="1"/>
      <x:c r="M13" s="1"/>
      <x:c r="N13" s="1"/>
      <x:c r="O13" s="1"/>
      <x:c r="P13" s="1"/>
    </x:row>
    <x:row r="14" ht="27" customHeight="1">
      <x:c r="A14" s="9" t="str">
        <x:v>Gap is (repricing assets − repricing liabilities − replacement wholesale funding) / assets, not immediately available cash.</x:v>
      </x:c>
      <x:c r="B14" s="9"/>
      <x:c r="C14" s="9"/>
      <x:c r="D14" s="9"/>
      <x:c r="E14" s="9"/>
      <x:c r="F14" s="9"/>
      <x:c r="G14" s="9"/>
      <x:c r="H14" s="9"/>
      <x:c r="I14" s="1"/>
      <x:c r="J14" s="1"/>
      <x:c r="K14" s="1"/>
      <x:c r="L14" s="1"/>
      <x:c r="M14" s="1"/>
      <x:c r="N14" s="1"/>
      <x:c r="O14" s="1"/>
      <x:c r="P14" s="1"/>
    </x:row>
    <x:row r="15" ht="27" customHeight="1">
      <x:c r="A15" s="9" t="str">
        <x:v>The assignment's headline cumulative Tier 1 drops conflict with its quarterly steps; these formulas use the quarterly steps.</x:v>
      </x:c>
      <x:c r="B15" s="9"/>
      <x:c r="C15" s="9"/>
      <x:c r="D15" s="9"/>
      <x:c r="E15" s="9"/>
      <x:c r="F15" s="9"/>
      <x:c r="G15" s="9"/>
      <x:c r="H15" s="9"/>
      <x:c r="I15" s="1"/>
      <x:c r="J15" s="1"/>
      <x:c r="K15" s="1"/>
      <x:c r="L15" s="1"/>
      <x:c r="M15" s="1"/>
      <x:c r="N15" s="1"/>
      <x:c r="O15" s="1"/>
      <x:c r="P15" s="1"/>
    </x:row>
    <x:row r="16" ht="27" customHeight="1">
      <x:c r="A16" s="9" t="str">
        <x:v>A securities mark-to-market exposure is shown separately and is not deducted again from the specified Tier 1 path.</x:v>
      </x:c>
      <x:c r="B16" s="9"/>
      <x:c r="C16" s="9"/>
      <x:c r="D16" s="9"/>
      <x:c r="E16" s="9"/>
      <x:c r="F16" s="9"/>
      <x:c r="G16" s="9"/>
      <x:c r="H16" s="9"/>
      <x:c r="I16" s="1"/>
      <x:c r="J16" s="1"/>
      <x:c r="K16" s="1"/>
      <x:c r="L16" s="1"/>
      <x:c r="M16" s="1"/>
      <x:c r="N16" s="1"/>
      <x:c r="O16" s="1"/>
      <x:c r="P16" s="1"/>
    </x:row>
    <x:row r="17" ht="27" customHeight="1">
      <x:c r="A17" s="9" t="str">
        <x:v>Source: FFIEC FR Y-9C BHCF20260630.ZIP and FINTECH 590 Defense 1 brief; team comparison: Defense 1/stress_paths_Q0_Q9.csv.</x:v>
      </x:c>
      <x:c r="B17" s="9"/>
      <x:c r="C17" s="9"/>
      <x:c r="D17" s="9"/>
      <x:c r="E17" s="9"/>
      <x:c r="F17" s="9"/>
      <x:c r="G17" s="9"/>
      <x:c r="H17" s="9"/>
      <x:c r="I17" s="1"/>
      <x:c r="J17" s="1"/>
      <x:c r="K17" s="1"/>
      <x:c r="L17" s="1"/>
      <x:c r="M17" s="1"/>
      <x:c r="N17" s="1"/>
      <x:c r="O17" s="1"/>
      <x:c r="P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</x:row>
  </x:sheetData>
  <x:mergeCells>
    <x:mergeCell ref="A2:H2"/>
    <x:mergeCell ref="A3:H3"/>
    <x:mergeCell ref="A13:H13"/>
    <x:mergeCell ref="A14:H14"/>
    <x:mergeCell ref="A15:H15"/>
    <x:mergeCell ref="A16:H16"/>
    <x:mergeCell ref="A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3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3" t="str">
        <x:v>Raw FFIEC inputs and derived Q0 ratios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1"/>
      <x:c r="N1" s="1"/>
      <x:c r="O1" s="1"/>
      <x:c r="P1" s="1"/>
    </x:row>
    <x:row r="2" ht="28" customHeight="1">
      <x:c r="A2" s="1" t="str">
        <x:v>Source: FFIEC FR Y-9C bulk holding-company file, quarter ended 2026-06-30, BHCF20260630.ZIP (team repo data/).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28" customHeight="1">
      <x:c r="A3" s="1" t="str">
        <x:v>Fields: BHCA8274 capital; BHCAA223 RWA; BHCK2170 assets; BHCK3197 repricing assets; liabilities BHCK3296+3298+3408+3409; deposits 4 x 6631/6636; securities BHCK1754+1773.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38" customHeight="1">
      <x:c r="A4" s="10" t="str">
        <x:v>Bank</x:v>
      </x:c>
      <x:c r="B4" s="10" t="str">
        <x:v>RSSD</x:v>
      </x:c>
      <x:c r="C4" s="10" t="str">
        <x:v>Tier 1 capital</x:v>
      </x:c>
      <x:c r="D4" s="10" t="str">
        <x:v>RWA</x:v>
      </x:c>
      <x:c r="E4" s="10" t="str">
        <x:v>Total assets</x:v>
      </x:c>
      <x:c r="F4" s="10" t="str">
        <x:v>Repricing assets</x:v>
      </x:c>
      <x:c r="G4" s="10" t="str">
        <x:v>Repricing liabilities</x:v>
      </x:c>
      <x:c r="H4" s="10" t="str">
        <x:v>Deposits</x:v>
      </x:c>
      <x:c r="I4" s="10" t="str">
        <x:v>HTM + AFS</x:v>
      </x:c>
      <x:c r="J4" s="10" t="str">
        <x:v>Filed Tier1 %</x:v>
      </x:c>
      <x:c r="K4" s="10" t="str">
        <x:v>Calculated Tier1</x:v>
      </x:c>
      <x:c r="L4" s="10" t="str">
        <x:v>Calculated gap</x:v>
      </x:c>
      <x:c r="M4" s="1"/>
      <x:c r="N4" s="1"/>
      <x:c r="O4" s="1"/>
      <x:c r="P4" s="1"/>
    </x:row>
    <x:row r="5">
      <x:c r="A5" s="1" t="str">
        <x:v>Bank of America</x:v>
      </x:c>
      <x:c r="B5" s="1" t="n">
        <x:v>1073757</x:v>
      </x:c>
      <x:c r="C5" s="11" t="n">
        <x:v>226568000</x:v>
      </x:c>
      <x:c r="D5" s="11" t="n">
        <x:v>1792202000</x:v>
      </x:c>
      <x:c r="E5" s="11" t="n">
        <x:v>3499191000</x:v>
      </x:c>
      <x:c r="F5" s="11" t="n">
        <x:v>1625674000</x:v>
      </x:c>
      <x:c r="G5" s="11" t="n">
        <x:v>327384000</x:v>
      </x:c>
      <x:c r="H5" s="11" t="n">
        <x:v>2025124000</x:v>
      </x:c>
      <x:c r="I5" s="11" t="n">
        <x:v>854366000</x:v>
      </x:c>
      <x:c r="J5" s="12" t="n">
        <x:v>12.6419</x:v>
      </x:c>
      <x:c r="K5" s="13" t="n">
        <x:f>C5/D5</x:f>
        <x:v>0.1264187853824513</x:v>
      </x:c>
      <x:c r="L5" s="13" t="n">
        <x:f>(F5-G5)/E5</x:f>
        <x:v>0.37102575995422943</x:v>
      </x:c>
      <x:c r="M5" s="1"/>
      <x:c r="N5" s="1"/>
      <x:c r="O5" s="1"/>
      <x:c r="P5" s="1"/>
    </x:row>
    <x:row r="6">
      <x:c r="A6" s="1" t="str">
        <x:v>Citigroup</x:v>
      </x:c>
      <x:c r="B6" s="1" t="n">
        <x:v>1951350</x:v>
      </x:c>
      <x:c r="C6" s="11" t="n">
        <x:v>180941000</x:v>
      </x:c>
      <x:c r="D6" s="11" t="n">
        <x:v>1232309000</x:v>
      </x:c>
      <x:c r="E6" s="11" t="n">
        <x:v>2894654000</x:v>
      </x:c>
      <x:c r="F6" s="11" t="n">
        <x:v>1479995000</x:v>
      </x:c>
      <x:c r="G6" s="11" t="n">
        <x:v>336837000</x:v>
      </x:c>
      <x:c r="H6" s="11" t="n">
        <x:v>1505568000</x:v>
      </x:c>
      <x:c r="I6" s="11" t="n">
        <x:v>451172000</x:v>
      </x:c>
      <x:c r="J6" s="12" t="n">
        <x:v>14.6831</x:v>
      </x:c>
      <x:c r="K6" s="13" t="n">
        <x:f>C6/D6</x:f>
        <x:v>0.1468308679073187</x:v>
      </x:c>
      <x:c r="L6" s="13" t="n">
        <x:f>(F6-G6)/E6</x:f>
        <x:v>0.3949204291773732</x:v>
      </x:c>
      <x:c r="M6" s="1"/>
      <x:c r="N6" s="1"/>
      <x:c r="O6" s="1"/>
      <x:c r="P6" s="1"/>
    </x:row>
    <x:row r="7">
      <x:c r="A7" s="1" t="str">
        <x:v>Goldman Sachs</x:v>
      </x:c>
      <x:c r="B7" s="1" t="n">
        <x:v>2380443</x:v>
      </x:c>
      <x:c r="C7" s="11" t="n">
        <x:v>114382000</x:v>
      </x:c>
      <x:c r="D7" s="11" t="n">
        <x:v>790640000</x:v>
      </x:c>
      <x:c r="E7" s="11" t="n">
        <x:v>2127711000</x:v>
      </x:c>
      <x:c r="F7" s="11" t="n">
        <x:v>1008751000</x:v>
      </x:c>
      <x:c r="G7" s="11" t="n">
        <x:v>214120000</x:v>
      </x:c>
      <x:c r="H7" s="11" t="n">
        <x:v>556556000</x:v>
      </x:c>
      <x:c r="I7" s="11" t="n">
        <x:v>228784000</x:v>
      </x:c>
      <x:c r="J7" s="12" t="n">
        <x:v>14.467</x:v>
      </x:c>
      <x:c r="K7" s="13" t="n">
        <x:f>C7/D7</x:f>
        <x:v>0.14467014064555297</x:v>
      </x:c>
      <x:c r="L7" s="13" t="n">
        <x:f>(F7-G7)/E7</x:f>
        <x:v>0.3734675432894787</x:v>
      </x:c>
      <x:c r="M7" s="1"/>
      <x:c r="N7" s="1"/>
      <x:c r="O7" s="1"/>
      <x:c r="P7" s="1"/>
    </x:row>
    <x:row r="8">
      <x:c r="A8" s="1" t="str">
        <x:v>JPMorgan Chase</x:v>
      </x:c>
      <x:c r="B8" s="1" t="n">
        <x:v>1039502</x:v>
      </x:c>
      <x:c r="C8" s="11" t="n">
        <x:v>322720000</x:v>
      </x:c>
      <x:c r="D8" s="11" t="n">
        <x:v>2132427745</x:v>
      </x:c>
      <x:c r="E8" s="11" t="n">
        <x:v>5015069000</x:v>
      </x:c>
      <x:c r="F8" s="11" t="n">
        <x:v>2312641000</x:v>
      </x:c>
      <x:c r="G8" s="11" t="n">
        <x:v>824402000</x:v>
      </x:c>
      <x:c r="H8" s="11" t="n">
        <x:v>2713700000</x:v>
      </x:c>
      <x:c r="I8" s="11" t="n">
        <x:v>804564000</x:v>
      </x:c>
      <x:c r="J8" s="12" t="n">
        <x:v>15.1339</x:v>
      </x:c>
      <x:c r="K8" s="13" t="n">
        <x:f>C8/D8</x:f>
        <x:v>0.15133924268088156</x:v>
      </x:c>
      <x:c r="L8" s="13" t="n">
        <x:f>(F8-G8)/E8</x:f>
        <x:v>0.29675344446905916</x:v>
      </x:c>
      <x:c r="M8" s="1"/>
      <x:c r="N8" s="1"/>
      <x:c r="O8" s="1"/>
      <x:c r="P8" s="1"/>
    </x:row>
    <x:row r="9">
      <x:c r="A9" s="1" t="str">
        <x:v>Wells Fargo</x:v>
      </x:c>
      <x:c r="B9" s="1" t="n">
        <x:v>1120754</x:v>
      </x:c>
      <x:c r="C9" s="11" t="n">
        <x:v>152737000</x:v>
      </x:c>
      <x:c r="D9" s="11" t="n">
        <x:v>1342324680</x:v>
      </x:c>
      <x:c r="E9" s="11" t="n">
        <x:v>2282201000</x:v>
      </x:c>
      <x:c r="F9" s="11" t="n">
        <x:v>1029546000</x:v>
      </x:c>
      <x:c r="G9" s="11" t="n">
        <x:v>201930000</x:v>
      </x:c>
      <x:c r="H9" s="11" t="n">
        <x:v>1501476000</x:v>
      </x:c>
      <x:c r="I9" s="11" t="n">
        <x:v>448992000</x:v>
      </x:c>
      <x:c r="J9" s="12" t="n">
        <x:v>11.3785</x:v>
      </x:c>
      <x:c r="K9" s="13" t="n">
        <x:f>C9/D9</x:f>
        <x:v>0.11378543676929191</x:v>
      </x:c>
      <x:c r="L9" s="13" t="n">
        <x:f>(F9-G9)/E9</x:f>
        <x:v>0.3626393994218739</x:v>
      </x:c>
      <x:c r="M9" s="1"/>
      <x:c r="N9" s="1"/>
      <x:c r="O9" s="1"/>
      <x:c r="P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</x:row>
    <x:row r="11" ht="28" customHeight="1">
      <x:c r="A11" s="1" t="str">
        <x:v>The filed BHCA7206 ratio is percentage points; calculated ratio is a decimal, e.g. 15.13% = 0.1513.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</x:row>
  </x:sheetData>
  <x:mergeCells>
    <x:mergeCell ref="A2:L2"/>
    <x:mergeCell ref="A3:L3"/>
    <x:mergeCell ref="A11:L1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1" hidden="0" customWidth="1"/>
    <x:col min="3" max="3" width="22" hidden="0" customWidth="1"/>
    <x:col min="4" max="4" width="22" hidden="0" customWidth="1"/>
    <x:col min="5" max="5" width="22" hidden="0" customWidth="1"/>
    <x:col min="6" max="6" width="4" hidden="0" customWidth="1"/>
    <x:col min="7" max="7" width="23" hidden="0" customWidth="1"/>
    <x:col min="8" max="8" width="20" hidden="0" customWidth="1"/>
    <x:col min="9" max="9" width="20" hidden="0" customWidth="1"/>
  </x:cols>
  <x:sheetData>
    <x:row r="1">
      <x:c r="A1" s="3" t="str">
        <x:v>Assignment path inputs</x:v>
      </x:c>
      <x:c r="B1" s="3"/>
      <x:c r="C1" s="3"/>
      <x:c r="D1" s="3"/>
      <x:c r="E1" s="3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30" customHeight="1">
      <x:c r="A2" s="9" t="str">
        <x:v>Quarterly Tier 1 changes follow the detailed assignment schedule. Runoff and haircut are phased to the specified Q4/Q2 endpoint.</x:v>
      </x:c>
      <x:c r="B2" s="9"/>
      <x:c r="C2" s="9"/>
      <x:c r="D2" s="9"/>
      <x:c r="E2" s="9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30" customHeight="1">
      <x:c r="A3" s="9" t="str">
        <x:v>Haircut timing is a team modeling assumption; the brief states the total shock but not its quarterly ramp.</x:v>
      </x:c>
      <x:c r="B3" s="9"/>
      <x:c r="C3" s="9"/>
      <x:c r="D3" s="9"/>
      <x:c r="E3" s="9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34" customHeight="1">
      <x:c r="A4" s="10" t="str">
        <x:v>Scenario</x:v>
      </x:c>
      <x:c r="B4" s="10" t="str">
        <x:v>Quarter</x:v>
      </x:c>
      <x:c r="C4" s="10" t="str">
        <x:v>Tier1 step</x:v>
      </x:c>
      <x:c r="D4" s="10" t="str">
        <x:v>Cumulative runoff</x:v>
      </x:c>
      <x:c r="E4" s="10" t="str">
        <x:v>Cumulative haircut</x:v>
      </x:c>
      <x:c r="F4" s="1"/>
      <x:c r="G4" s="9" t="str">
        <x:v>Scenario</x:v>
      </x:c>
      <x:c r="H4" s="9" t="str">
        <x:v>Cumulative Tier1 Q9</x:v>
      </x:c>
      <x:c r="I4" s="9" t="str">
        <x:v>Brief headline</x:v>
      </x:c>
      <x:c r="J4" s="1"/>
      <x:c r="K4" s="1"/>
      <x:c r="L4" s="1"/>
      <x:c r="M4" s="1"/>
      <x:c r="N4" s="1"/>
      <x:c r="O4" s="1"/>
      <x:c r="P4" s="1"/>
    </x:row>
    <x:row r="5">
      <x:c r="A5" s="1" t="str">
        <x:v>Baseline</x:v>
      </x:c>
      <x:c r="B5" s="1" t="n">
        <x:v>0</x:v>
      </x:c>
      <x:c r="C5" s="13" t="n">
        <x:v>0</x:v>
      </x:c>
      <x:c r="D5" s="13" t="n">
        <x:v>0</x:v>
      </x:c>
      <x:c r="E5" s="13" t="n">
        <x:v>0</x:v>
      </x:c>
      <x:c r="F5" s="1"/>
      <x:c r="G5" s="1" t="str">
        <x:v>Adverse</x:v>
      </x:c>
      <x:c r="H5" s="6" t="n">
        <x:f>SUM(C15:C24)</x:f>
        <x:v>-0.01</x:v>
      </x:c>
      <x:c r="I5" s="6" t="n">
        <x:v>-0.016</x:v>
      </x:c>
      <x:c r="J5" s="1"/>
      <x:c r="K5" s="1"/>
      <x:c r="L5" s="1"/>
      <x:c r="M5" s="1"/>
      <x:c r="N5" s="1"/>
      <x:c r="O5" s="1"/>
      <x:c r="P5" s="1"/>
    </x:row>
    <x:row r="6">
      <x:c r="A6" s="1" t="str">
        <x:v>Baseline</x:v>
      </x:c>
      <x:c r="B6" s="1" t="n">
        <x:v>1</x:v>
      </x:c>
      <x:c r="C6" s="13" t="n">
        <x:v>0.0003333333333333333</x:v>
      </x:c>
      <x:c r="D6" s="13" t="n">
        <x:v>0</x:v>
      </x:c>
      <x:c r="E6" s="13" t="n">
        <x:v>0</x:v>
      </x:c>
      <x:c r="F6" s="1"/>
      <x:c r="G6" s="1" t="str">
        <x:v>Severely Adverse</x:v>
      </x:c>
      <x:c r="H6" s="6" t="n">
        <x:f>SUM(C25:C34)</x:f>
        <x:v>-0.012999999999999994</x:v>
      </x:c>
      <x:c r="I6" s="6" t="n">
        <x:v>-0.031</x:v>
      </x:c>
      <x:c r="J6" s="1"/>
      <x:c r="K6" s="1"/>
      <x:c r="L6" s="1"/>
      <x:c r="M6" s="1"/>
      <x:c r="N6" s="1"/>
      <x:c r="O6" s="1"/>
      <x:c r="P6" s="1"/>
    </x:row>
    <x:row r="7">
      <x:c r="A7" s="1" t="str">
        <x:v>Baseline</x:v>
      </x:c>
      <x:c r="B7" s="1" t="n">
        <x:v>2</x:v>
      </x:c>
      <x:c r="C7" s="13" t="n">
        <x:v>0.0003333333333333333</x:v>
      </x:c>
      <x:c r="D7" s="13" t="n">
        <x:v>0</x:v>
      </x:c>
      <x:c r="E7" s="13" t="n">
        <x:v>0</x:v>
      </x:c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</x:row>
    <x:row r="8" ht="42" customHeight="1">
      <x:c r="A8" s="1" t="str">
        <x:v>Baseline</x:v>
      </x:c>
      <x:c r="B8" s="1" t="n">
        <x:v>3</x:v>
      </x:c>
      <x:c r="C8" s="13" t="n">
        <x:v>0.0003333333333333333</x:v>
      </x:c>
      <x:c r="D8" s="13" t="n">
        <x:v>0</x:v>
      </x:c>
      <x:c r="E8" s="13" t="n">
        <x:v>0</x:v>
      </x:c>
      <x:c r="F8" s="1"/>
      <x:c r="G8" s="9" t="str">
        <x:v>These do not reconcile; memo uses the explicit quarter rules and flags the conflict.</x:v>
      </x:c>
      <x:c r="H8" s="9"/>
      <x:c r="I8" s="9"/>
      <x:c r="J8" s="1"/>
      <x:c r="K8" s="1"/>
      <x:c r="L8" s="1"/>
      <x:c r="M8" s="1"/>
      <x:c r="N8" s="1"/>
      <x:c r="O8" s="1"/>
      <x:c r="P8" s="1"/>
    </x:row>
    <x:row r="9">
      <x:c r="A9" s="1" t="str">
        <x:v>Baseline</x:v>
      </x:c>
      <x:c r="B9" s="1" t="n">
        <x:v>4</x:v>
      </x:c>
      <x:c r="C9" s="13" t="n">
        <x:v>0.0003333333333333333</x:v>
      </x:c>
      <x:c r="D9" s="13" t="n">
        <x:v>0</x:v>
      </x:c>
      <x:c r="E9" s="13" t="n">
        <x:v>0</x:v>
      </x:c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</x:row>
    <x:row r="10">
      <x:c r="A10" s="1" t="str">
        <x:v>Baseline</x:v>
      </x:c>
      <x:c r="B10" s="1" t="n">
        <x:v>5</x:v>
      </x:c>
      <x:c r="C10" s="13" t="n">
        <x:v>0.0003333333333333333</x:v>
      </x:c>
      <x:c r="D10" s="13" t="n">
        <x:v>0</x:v>
      </x:c>
      <x:c r="E10" s="13" t="n">
        <x:v>0</x:v>
      </x:c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</x:row>
    <x:row r="11">
      <x:c r="A11" s="1" t="str">
        <x:v>Baseline</x:v>
      </x:c>
      <x:c r="B11" s="1" t="n">
        <x:v>6</x:v>
      </x:c>
      <x:c r="C11" s="13" t="n">
        <x:v>0.0003333333333333333</x:v>
      </x:c>
      <x:c r="D11" s="13" t="n">
        <x:v>0</x:v>
      </x:c>
      <x:c r="E11" s="13" t="n">
        <x:v>0</x:v>
      </x:c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</x:row>
    <x:row r="12">
      <x:c r="A12" s="1" t="str">
        <x:v>Baseline</x:v>
      </x:c>
      <x:c r="B12" s="1" t="n">
        <x:v>7</x:v>
      </x:c>
      <x:c r="C12" s="13" t="n">
        <x:v>0.0003333333333333333</x:v>
      </x:c>
      <x:c r="D12" s="13" t="n">
        <x:v>0</x:v>
      </x:c>
      <x:c r="E12" s="13" t="n">
        <x:v>0</x:v>
      </x:c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</x:row>
    <x:row r="13">
      <x:c r="A13" s="1" t="str">
        <x:v>Baseline</x:v>
      </x:c>
      <x:c r="B13" s="1" t="n">
        <x:v>8</x:v>
      </x:c>
      <x:c r="C13" s="13" t="n">
        <x:v>0.0003333333333333333</x:v>
      </x:c>
      <x:c r="D13" s="13" t="n">
        <x:v>0</x:v>
      </x:c>
      <x:c r="E13" s="13" t="n">
        <x:v>0</x:v>
      </x:c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</x:row>
    <x:row r="14">
      <x:c r="A14" s="1" t="str">
        <x:v>Baseline</x:v>
      </x:c>
      <x:c r="B14" s="1" t="n">
        <x:v>9</x:v>
      </x:c>
      <x:c r="C14" s="13" t="n">
        <x:v>0.0003333333333333333</x:v>
      </x:c>
      <x:c r="D14" s="13" t="n">
        <x:v>0</x:v>
      </x:c>
      <x:c r="E14" s="13" t="n">
        <x:v>0</x:v>
      </x:c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</x:row>
    <x:row r="15">
      <x:c r="A15" s="1" t="str">
        <x:v>Adverse</x:v>
      </x:c>
      <x:c r="B15" s="1" t="n">
        <x:v>0</x:v>
      </x:c>
      <x:c r="C15" s="13" t="n">
        <x:v>0</x:v>
      </x:c>
      <x:c r="D15" s="13" t="n">
        <x:v>0</x:v>
      </x:c>
      <x:c r="E15" s="13" t="n">
        <x:v>0</x:v>
      </x:c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</x:row>
    <x:row r="16">
      <x:c r="A16" s="1" t="str">
        <x:v>Adverse</x:v>
      </x:c>
      <x:c r="B16" s="1" t="n">
        <x:v>1</x:v>
      </x:c>
      <x:c r="C16" s="13" t="n">
        <x:v>-0.002</x:v>
      </x:c>
      <x:c r="D16" s="13" t="n">
        <x:v>0.0125</x:v>
      </x:c>
      <x:c r="E16" s="13" t="n">
        <x:v>0.0075</x:v>
      </x:c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</x:row>
    <x:row r="17">
      <x:c r="A17" s="1" t="str">
        <x:v>Adverse</x:v>
      </x:c>
      <x:c r="B17" s="1" t="n">
        <x:v>2</x:v>
      </x:c>
      <x:c r="C17" s="13" t="n">
        <x:v>-0.002</x:v>
      </x:c>
      <x:c r="D17" s="13" t="n">
        <x:v>0.025</x:v>
      </x:c>
      <x:c r="E17" s="13" t="n">
        <x:v>0.015</x:v>
      </x:c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</x:row>
    <x:row r="18">
      <x:c r="A18" s="1" t="str">
        <x:v>Adverse</x:v>
      </x:c>
      <x:c r="B18" s="1" t="n">
        <x:v>3</x:v>
      </x:c>
      <x:c r="C18" s="13" t="n">
        <x:v>-0.002</x:v>
      </x:c>
      <x:c r="D18" s="13" t="n">
        <x:v>0.037500000000000006</x:v>
      </x:c>
      <x:c r="E18" s="13" t="n">
        <x:v>0.0225</x:v>
      </x:c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</x:row>
    <x:row r="19">
      <x:c r="A19" s="1" t="str">
        <x:v>Adverse</x:v>
      </x:c>
      <x:c r="B19" s="1" t="n">
        <x:v>4</x:v>
      </x:c>
      <x:c r="C19" s="13" t="n">
        <x:v>-0.002</x:v>
      </x:c>
      <x:c r="D19" s="13" t="n">
        <x:v>0.05</x:v>
      </x:c>
      <x:c r="E19" s="13" t="n">
        <x:v>0.03</x:v>
      </x:c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</x:row>
    <x:row r="20">
      <x:c r="A20" s="1" t="str">
        <x:v>Adverse</x:v>
      </x:c>
      <x:c r="B20" s="1" t="n">
        <x:v>5</x:v>
      </x:c>
      <x:c r="C20" s="13" t="n">
        <x:v>-0.002</x:v>
      </x:c>
      <x:c r="D20" s="13" t="n">
        <x:v>0.05</x:v>
      </x:c>
      <x:c r="E20" s="13" t="n">
        <x:v>0.03</x:v>
      </x:c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</x:row>
    <x:row r="21">
      <x:c r="A21" s="1" t="str">
        <x:v>Adverse</x:v>
      </x:c>
      <x:c r="B21" s="1" t="n">
        <x:v>6</x:v>
      </x:c>
      <x:c r="C21" s="13" t="n">
        <x:v>0</x:v>
      </x:c>
      <x:c r="D21" s="13" t="n">
        <x:v>0.05</x:v>
      </x:c>
      <x:c r="E21" s="13" t="n">
        <x:v>0.03</x:v>
      </x:c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</x:row>
    <x:row r="22">
      <x:c r="A22" s="1" t="str">
        <x:v>Adverse</x:v>
      </x:c>
      <x:c r="B22" s="1" t="n">
        <x:v>7</x:v>
      </x:c>
      <x:c r="C22" s="13" t="n">
        <x:v>0</x:v>
      </x:c>
      <x:c r="D22" s="13" t="n">
        <x:v>0.05</x:v>
      </x:c>
      <x:c r="E22" s="13" t="n">
        <x:v>0.03</x:v>
      </x:c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</x:row>
    <x:row r="23">
      <x:c r="A23" s="1" t="str">
        <x:v>Adverse</x:v>
      </x:c>
      <x:c r="B23" s="1" t="n">
        <x:v>8</x:v>
      </x:c>
      <x:c r="C23" s="13" t="n">
        <x:v>0</x:v>
      </x:c>
      <x:c r="D23" s="13" t="n">
        <x:v>0.05</x:v>
      </x:c>
      <x:c r="E23" s="13" t="n">
        <x:v>0.03</x:v>
      </x:c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</x:row>
    <x:row r="24">
      <x:c r="A24" s="1" t="str">
        <x:v>Adverse</x:v>
      </x:c>
      <x:c r="B24" s="1" t="n">
        <x:v>9</x:v>
      </x:c>
      <x:c r="C24" s="13" t="n">
        <x:v>0</x:v>
      </x:c>
      <x:c r="D24" s="13" t="n">
        <x:v>0.05</x:v>
      </x:c>
      <x:c r="E24" s="13" t="n">
        <x:v>0.03</x:v>
      </x:c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</x:row>
    <x:row r="25">
      <x:c r="A25" s="1" t="str">
        <x:v>Severely Adverse</x:v>
      </x:c>
      <x:c r="B25" s="1" t="n">
        <x:v>0</x:v>
      </x:c>
      <x:c r="C25" s="13" t="n">
        <x:v>0</x:v>
      </x:c>
      <x:c r="D25" s="13" t="n">
        <x:v>0</x:v>
      </x:c>
      <x:c r="E25" s="13" t="n">
        <x:v>0</x:v>
      </x:c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</x:row>
    <x:row r="26">
      <x:c r="A26" s="1" t="str">
        <x:v>Severely Adverse</x:v>
      </x:c>
      <x:c r="B26" s="1" t="n">
        <x:v>1</x:v>
      </x:c>
      <x:c r="C26" s="13" t="n">
        <x:v>-0.006</x:v>
      </x:c>
      <x:c r="D26" s="13" t="n">
        <x:v>0.075</x:v>
      </x:c>
      <x:c r="E26" s="13" t="n">
        <x:v>0.05</x:v>
      </x:c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</x:row>
    <x:row r="27">
      <x:c r="A27" s="1" t="str">
        <x:v>Severely Adverse</x:v>
      </x:c>
      <x:c r="B27" s="1" t="n">
        <x:v>2</x:v>
      </x:c>
      <x:c r="C27" s="13" t="n">
        <x:v>-0.005</x:v>
      </x:c>
      <x:c r="D27" s="13" t="n">
        <x:v>0.15</x:v>
      </x:c>
      <x:c r="E27" s="13" t="n">
        <x:v>0.1</x:v>
      </x:c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</x:row>
    <x:row r="28">
      <x:c r="A28" s="1" t="str">
        <x:v>Severely Adverse</x:v>
      </x:c>
      <x:c r="B28" s="1" t="n">
        <x:v>3</x:v>
      </x:c>
      <x:c r="C28" s="13" t="n">
        <x:v>-0.004</x:v>
      </x:c>
      <x:c r="D28" s="13" t="n">
        <x:v>0.15</x:v>
      </x:c>
      <x:c r="E28" s="13" t="n">
        <x:v>0.1</x:v>
      </x:c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</x:row>
    <x:row r="29">
      <x:c r="A29" s="1" t="str">
        <x:v>Severely Adverse</x:v>
      </x:c>
      <x:c r="B29" s="1" t="n">
        <x:v>4</x:v>
      </x:c>
      <x:c r="C29" s="13" t="n">
        <x:v>-0.003</x:v>
      </x:c>
      <x:c r="D29" s="13" t="n">
        <x:v>0.15</x:v>
      </x:c>
      <x:c r="E29" s="13" t="n">
        <x:v>0.1</x:v>
      </x:c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</x:row>
    <x:row r="30">
      <x:c r="A30" s="1" t="str">
        <x:v>Severely Adverse</x:v>
      </x:c>
      <x:c r="B30" s="1" t="n">
        <x:v>5</x:v>
      </x:c>
      <x:c r="C30" s="13" t="n">
        <x:v>0.001</x:v>
      </x:c>
      <x:c r="D30" s="13" t="n">
        <x:v>0.15</x:v>
      </x:c>
      <x:c r="E30" s="13" t="n">
        <x:v>0.1</x:v>
      </x:c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</x:row>
    <x:row r="31">
      <x:c r="A31" s="1" t="str">
        <x:v>Severely Adverse</x:v>
      </x:c>
      <x:c r="B31" s="1" t="n">
        <x:v>6</x:v>
      </x:c>
      <x:c r="C31" s="13" t="n">
        <x:v>0.001</x:v>
      </x:c>
      <x:c r="D31" s="13" t="n">
        <x:v>0.15</x:v>
      </x:c>
      <x:c r="E31" s="13" t="n">
        <x:v>0.1</x:v>
      </x:c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</x:row>
    <x:row r="32">
      <x:c r="A32" s="1" t="str">
        <x:v>Severely Adverse</x:v>
      </x:c>
      <x:c r="B32" s="1" t="n">
        <x:v>7</x:v>
      </x:c>
      <x:c r="C32" s="13" t="n">
        <x:v>0.001</x:v>
      </x:c>
      <x:c r="D32" s="13" t="n">
        <x:v>0.15</x:v>
      </x:c>
      <x:c r="E32" s="13" t="n">
        <x:v>0.1</x:v>
      </x:c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</x:row>
    <x:row r="33">
      <x:c r="A33" s="1" t="str">
        <x:v>Severely Adverse</x:v>
      </x:c>
      <x:c r="B33" s="1" t="n">
        <x:v>8</x:v>
      </x:c>
      <x:c r="C33" s="13" t="n">
        <x:v>0.001</x:v>
      </x:c>
      <x:c r="D33" s="13" t="n">
        <x:v>0.15</x:v>
      </x:c>
      <x:c r="E33" s="13" t="n">
        <x:v>0.1</x:v>
      </x:c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</x:row>
    <x:row r="34">
      <x:c r="A34" s="1" t="str">
        <x:v>Severely Adverse</x:v>
      </x:c>
      <x:c r="B34" s="1" t="n">
        <x:v>9</x:v>
      </x:c>
      <x:c r="C34" s="13" t="n">
        <x:v>0.001</x:v>
      </x:c>
      <x:c r="D34" s="13" t="n">
        <x:v>0.15</x:v>
      </x:c>
      <x:c r="E34" s="13" t="n">
        <x:v>0.1</x:v>
      </x:c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</x:row>
  </x:sheetData>
  <x:mergeCells>
    <x:mergeCell ref="A2:E2"/>
    <x:mergeCell ref="A3:E3"/>
    <x:mergeCell ref="G8:I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10" hidden="0" customWidth="1"/>
    <x:col min="4" max="4" width="20" hidden="0" customWidth="1"/>
    <x:col min="5" max="5" width="14" hidden="0" customWidth="1"/>
    <x:col min="6" max="6" width="17" hidden="0" customWidth="1"/>
    <x:col min="7" max="7" width="17" hidden="0" customWidth="1"/>
    <x:col min="8" max="8" width="23" hidden="0" customWidth="1"/>
    <x:col min="9" max="9" width="23" hidden="0" customWidth="1"/>
    <x:col min="10" max="10" width="23" hidden="0" customWidth="1"/>
    <x:col min="11" max="11" width="18" hidden="0" customWidth="1"/>
    <x:col min="12" max="12" width="18" hidden="0" customWidth="1"/>
    <x:col min="13" max="13" width="17" hidden="0" customWidth="1"/>
    <x:col min="14" max="14" width="17" hidden="0" customWidth="1"/>
    <x:col min="15" max="15" width="11" hidden="0" customWidth="1"/>
  </x:cols>
  <x:sheetData>
    <x:row r="1">
      <x:c r="A1" s="3" t="str">
        <x:v>Full 5-bank × 3-scenario × Q0–Q9 formula reconstruction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1"/>
    </x:row>
    <x:row r="2">
      <x:c r="A2" s="1" t="str">
        <x:v>F:L recomputed from Source and Assumptions. M:N team CSV values are comparison inputs. O checks both Tier 1 and gap to 6 decimals.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36" customHeight="1">
      <x:c r="A4" s="10" t="str">
        <x:v>Bank</x:v>
      </x:c>
      <x:c r="B4" s="10" t="str">
        <x:v>Scenario</x:v>
      </x:c>
      <x:c r="C4" s="10" t="str">
        <x:v>Quarter</x:v>
      </x:c>
      <x:c r="D4" s="10" t="str">
        <x:v>Cumulative Tier1 drift</x:v>
      </x:c>
      <x:c r="E4" s="10" t="str">
        <x:v>Runoff rate</x:v>
      </x:c>
      <x:c r="F4" s="10" t="str">
        <x:v>Tier1 ratio</x:v>
      </x:c>
      <x:c r="G4" s="10" t="str">
        <x:v>Liquidity gap</x:v>
      </x:c>
      <x:c r="H4" s="10" t="str">
        <x:v>Deposits remain</x:v>
      </x:c>
      <x:c r="I4" s="10" t="str">
        <x:v>Runoff amount</x:v>
      </x:c>
      <x:c r="J4" s="10" t="str">
        <x:v>Securities loss</x:v>
      </x:c>
      <x:c r="K4" s="10" t="str">
        <x:v>Loss / Tier1</x:v>
      </x:c>
      <x:c r="L4" s="10" t="str">
        <x:v>Haircut rate</x:v>
      </x:c>
      <x:c r="M4" s="10" t="str">
        <x:v>Team Tier1</x:v>
      </x:c>
      <x:c r="N4" s="10" t="str">
        <x:v>Team gap</x:v>
      </x:c>
      <x:c r="O4" s="10" t="str">
        <x:v>Check</x:v>
      </x:c>
      <x:c r="P4" s="1"/>
    </x:row>
    <x:row r="5">
      <x:c r="A5" s="1" t="str">
        <x:v>Bank of America</x:v>
      </x:c>
      <x:c r="B5" s="1" t="str">
        <x:v>Baseline</x:v>
      </x:c>
      <x:c r="C5" s="1" t="n">
        <x:v>0</x:v>
      </x:c>
      <x:c r="D5" s="14" t="n">
        <x:f>'Assumptions'!C5</x:f>
        <x:v>0</x:v>
      </x:c>
      <x:c r="E5" s="14" t="n">
        <x:f>'Assumptions'!D5</x:f>
        <x:v>0</x:v>
      </x:c>
      <x:c r="F5" s="14" t="n">
        <x:f>'Source'!K5+D5</x:f>
        <x:v>0.1264187853824513</x:v>
      </x:c>
      <x:c r="G5" s="14" t="n">
        <x:f>('Source'!F5-'Source'!G5-I5)/'Source'!E5</x:f>
        <x:v>0.37102575995422943</x:v>
      </x:c>
      <x:c r="H5" s="11" t="n">
        <x:f>'Source'!H5-I5</x:f>
        <x:v>2025124000</x:v>
      </x:c>
      <x:c r="I5" s="11" t="n">
        <x:f>'Source'!H5*E5</x:f>
        <x:v>0</x:v>
      </x:c>
      <x:c r="J5" s="11" t="n">
        <x:f>'Source'!I5*L5</x:f>
        <x:v>0</x:v>
      </x:c>
      <x:c r="K5" s="14" t="n">
        <x:f>J5/'Source'!C5</x:f>
        <x:v>0</x:v>
      </x:c>
      <x:c r="L5" s="14" t="n">
        <x:f>'Assumptions'!E5</x:f>
        <x:v>0</x:v>
      </x:c>
      <x:c r="M5" s="14" t="n">
        <x:v>0.126419</x:v>
      </x:c>
      <x:c r="N5" s="14" t="n">
        <x:v>0.371026</x:v>
      </x:c>
      <x:c r="O5" s="1" t="str">
        <x:f>IF(AND(ROUND(F5,6)=M5,ROUND(G5,6)=N5),"PASS","CHECK")</x:f>
        <x:v>PASS</x:v>
      </x:c>
      <x:c r="P5" s="1"/>
    </x:row>
    <x:row r="6">
      <x:c r="A6" s="1" t="str">
        <x:v>Bank of America</x:v>
      </x:c>
      <x:c r="B6" s="1" t="str">
        <x:v>Baseline</x:v>
      </x:c>
      <x:c r="C6" s="1" t="n">
        <x:v>1</x:v>
      </x:c>
      <x:c r="D6" s="14" t="n">
        <x:f>D5+'Assumptions'!C6</x:f>
        <x:v>0.0003333333333333333</x:v>
      </x:c>
      <x:c r="E6" s="14" t="n">
        <x:f>'Assumptions'!D6</x:f>
        <x:v>0</x:v>
      </x:c>
      <x:c r="F6" s="14" t="n">
        <x:f>'Source'!K5+D6</x:f>
        <x:v>0.12675211871578462</x:v>
      </x:c>
      <x:c r="G6" s="14" t="n">
        <x:f>('Source'!F5-'Source'!G5-I6)/'Source'!E5</x:f>
        <x:v>0.37102575995422943</x:v>
      </x:c>
      <x:c r="H6" s="11" t="n">
        <x:f>'Source'!H5-I6</x:f>
        <x:v>2025124000</x:v>
      </x:c>
      <x:c r="I6" s="11" t="n">
        <x:f>'Source'!H5*E6</x:f>
        <x:v>0</x:v>
      </x:c>
      <x:c r="J6" s="11" t="n">
        <x:f>'Source'!I5*L6</x:f>
        <x:v>0</x:v>
      </x:c>
      <x:c r="K6" s="14" t="n">
        <x:f>J6/'Source'!C5</x:f>
        <x:v>0</x:v>
      </x:c>
      <x:c r="L6" s="14" t="n">
        <x:f>'Assumptions'!E6</x:f>
        <x:v>0</x:v>
      </x:c>
      <x:c r="M6" s="14" t="n">
        <x:v>0.126752</x:v>
      </x:c>
      <x:c r="N6" s="14" t="n">
        <x:v>0.371026</x:v>
      </x:c>
      <x:c r="O6" s="1" t="str">
        <x:f>IF(AND(ROUND(F6,6)=M6,ROUND(G6,6)=N6),"PASS","CHECK")</x:f>
        <x:v>PASS</x:v>
      </x:c>
      <x:c r="P6" s="1"/>
    </x:row>
    <x:row r="7">
      <x:c r="A7" s="1" t="str">
        <x:v>Bank of America</x:v>
      </x:c>
      <x:c r="B7" s="1" t="str">
        <x:v>Baseline</x:v>
      </x:c>
      <x:c r="C7" s="1" t="n">
        <x:v>2</x:v>
      </x:c>
      <x:c r="D7" s="14" t="n">
        <x:f>D6+'Assumptions'!C7</x:f>
        <x:v>0.0006666666666666666</x:v>
      </x:c>
      <x:c r="E7" s="14" t="n">
        <x:f>'Assumptions'!D7</x:f>
        <x:v>0</x:v>
      </x:c>
      <x:c r="F7" s="14" t="n">
        <x:f>'Source'!K5+D7</x:f>
        <x:v>0.12708545204911798</x:v>
      </x:c>
      <x:c r="G7" s="14" t="n">
        <x:f>('Source'!F5-'Source'!G5-I7)/'Source'!E5</x:f>
        <x:v>0.37102575995422943</x:v>
      </x:c>
      <x:c r="H7" s="11" t="n">
        <x:f>'Source'!H5-I7</x:f>
        <x:v>2025124000</x:v>
      </x:c>
      <x:c r="I7" s="11" t="n">
        <x:f>'Source'!H5*E7</x:f>
        <x:v>0</x:v>
      </x:c>
      <x:c r="J7" s="11" t="n">
        <x:f>'Source'!I5*L7</x:f>
        <x:v>0</x:v>
      </x:c>
      <x:c r="K7" s="14" t="n">
        <x:f>J7/'Source'!C5</x:f>
        <x:v>0</x:v>
      </x:c>
      <x:c r="L7" s="14" t="n">
        <x:f>'Assumptions'!E7</x:f>
        <x:v>0</x:v>
      </x:c>
      <x:c r="M7" s="14" t="n">
        <x:v>0.127085</x:v>
      </x:c>
      <x:c r="N7" s="14" t="n">
        <x:v>0.371026</x:v>
      </x:c>
      <x:c r="O7" s="1" t="str">
        <x:f>IF(AND(ROUND(F7,6)=M7,ROUND(G7,6)=N7),"PASS","CHECK")</x:f>
        <x:v>PASS</x:v>
      </x:c>
      <x:c r="P7" s="1"/>
    </x:row>
    <x:row r="8">
      <x:c r="A8" s="1" t="str">
        <x:v>Bank of America</x:v>
      </x:c>
      <x:c r="B8" s="1" t="str">
        <x:v>Baseline</x:v>
      </x:c>
      <x:c r="C8" s="1" t="n">
        <x:v>3</x:v>
      </x:c>
      <x:c r="D8" s="14" t="n">
        <x:f>D7+'Assumptions'!C8</x:f>
        <x:v>0.001</x:v>
      </x:c>
      <x:c r="E8" s="14" t="n">
        <x:f>'Assumptions'!D8</x:f>
        <x:v>0</x:v>
      </x:c>
      <x:c r="F8" s="14" t="n">
        <x:f>'Source'!K5+D8</x:f>
        <x:v>0.1274187853824513</x:v>
      </x:c>
      <x:c r="G8" s="14" t="n">
        <x:f>('Source'!F5-'Source'!G5-I8)/'Source'!E5</x:f>
        <x:v>0.37102575995422943</x:v>
      </x:c>
      <x:c r="H8" s="11" t="n">
        <x:f>'Source'!H5-I8</x:f>
        <x:v>2025124000</x:v>
      </x:c>
      <x:c r="I8" s="11" t="n">
        <x:f>'Source'!H5*E8</x:f>
        <x:v>0</x:v>
      </x:c>
      <x:c r="J8" s="11" t="n">
        <x:f>'Source'!I5*L8</x:f>
        <x:v>0</x:v>
      </x:c>
      <x:c r="K8" s="14" t="n">
        <x:f>J8/'Source'!C5</x:f>
        <x:v>0</x:v>
      </x:c>
      <x:c r="L8" s="14" t="n">
        <x:f>'Assumptions'!E8</x:f>
        <x:v>0</x:v>
      </x:c>
      <x:c r="M8" s="14" t="n">
        <x:v>0.127419</x:v>
      </x:c>
      <x:c r="N8" s="14" t="n">
        <x:v>0.371026</x:v>
      </x:c>
      <x:c r="O8" s="1" t="str">
        <x:f>IF(AND(ROUND(F8,6)=M8,ROUND(G8,6)=N8),"PASS","CHECK")</x:f>
        <x:v>PASS</x:v>
      </x:c>
      <x:c r="P8" s="1"/>
    </x:row>
    <x:row r="9">
      <x:c r="A9" s="1" t="str">
        <x:v>Bank of America</x:v>
      </x:c>
      <x:c r="B9" s="1" t="str">
        <x:v>Baseline</x:v>
      </x:c>
      <x:c r="C9" s="1" t="n">
        <x:v>4</x:v>
      </x:c>
      <x:c r="D9" s="14" t="n">
        <x:f>D8+'Assumptions'!C9</x:f>
        <x:v>0.0013333333333333333</x:v>
      </x:c>
      <x:c r="E9" s="14" t="n">
        <x:f>'Assumptions'!D9</x:f>
        <x:v>0</x:v>
      </x:c>
      <x:c r="F9" s="14" t="n">
        <x:f>'Source'!K5+D9</x:f>
        <x:v>0.12775211871578462</x:v>
      </x:c>
      <x:c r="G9" s="14" t="n">
        <x:f>('Source'!F5-'Source'!G5-I9)/'Source'!E5</x:f>
        <x:v>0.37102575995422943</x:v>
      </x:c>
      <x:c r="H9" s="11" t="n">
        <x:f>'Source'!H5-I9</x:f>
        <x:v>2025124000</x:v>
      </x:c>
      <x:c r="I9" s="11" t="n">
        <x:f>'Source'!H5*E9</x:f>
        <x:v>0</x:v>
      </x:c>
      <x:c r="J9" s="11" t="n">
        <x:f>'Source'!I5*L9</x:f>
        <x:v>0</x:v>
      </x:c>
      <x:c r="K9" s="14" t="n">
        <x:f>J9/'Source'!C5</x:f>
        <x:v>0</x:v>
      </x:c>
      <x:c r="L9" s="14" t="n">
        <x:f>'Assumptions'!E9</x:f>
        <x:v>0</x:v>
      </x:c>
      <x:c r="M9" s="14" t="n">
        <x:v>0.127752</x:v>
      </x:c>
      <x:c r="N9" s="14" t="n">
        <x:v>0.371026</x:v>
      </x:c>
      <x:c r="O9" s="1" t="str">
        <x:f>IF(AND(ROUND(F9,6)=M9,ROUND(G9,6)=N9),"PASS","CHECK")</x:f>
        <x:v>PASS</x:v>
      </x:c>
      <x:c r="P9" s="1"/>
    </x:row>
    <x:row r="10">
      <x:c r="A10" s="1" t="str">
        <x:v>Bank of America</x:v>
      </x:c>
      <x:c r="B10" s="1" t="str">
        <x:v>Baseline</x:v>
      </x:c>
      <x:c r="C10" s="1" t="n">
        <x:v>5</x:v>
      </x:c>
      <x:c r="D10" s="14" t="n">
        <x:f>D9+'Assumptions'!C10</x:f>
        <x:v>0.0016666666666666666</x:v>
      </x:c>
      <x:c r="E10" s="14" t="n">
        <x:f>'Assumptions'!D10</x:f>
        <x:v>0</x:v>
      </x:c>
      <x:c r="F10" s="14" t="n">
        <x:f>'Source'!K5+D10</x:f>
        <x:v>0.12808545204911798</x:v>
      </x:c>
      <x:c r="G10" s="14" t="n">
        <x:f>('Source'!F5-'Source'!G5-I10)/'Source'!E5</x:f>
        <x:v>0.37102575995422943</x:v>
      </x:c>
      <x:c r="H10" s="11" t="n">
        <x:f>'Source'!H5-I10</x:f>
        <x:v>2025124000</x:v>
      </x:c>
      <x:c r="I10" s="11" t="n">
        <x:f>'Source'!H5*E10</x:f>
        <x:v>0</x:v>
      </x:c>
      <x:c r="J10" s="11" t="n">
        <x:f>'Source'!I5*L10</x:f>
        <x:v>0</x:v>
      </x:c>
      <x:c r="K10" s="14" t="n">
        <x:f>J10/'Source'!C5</x:f>
        <x:v>0</x:v>
      </x:c>
      <x:c r="L10" s="14" t="n">
        <x:f>'Assumptions'!E10</x:f>
        <x:v>0</x:v>
      </x:c>
      <x:c r="M10" s="14" t="n">
        <x:v>0.128085</x:v>
      </x:c>
      <x:c r="N10" s="14" t="n">
        <x:v>0.371026</x:v>
      </x:c>
      <x:c r="O10" s="1" t="str">
        <x:f>IF(AND(ROUND(F10,6)=M10,ROUND(G10,6)=N10),"PASS","CHECK")</x:f>
        <x:v>PASS</x:v>
      </x:c>
      <x:c r="P10" s="1"/>
    </x:row>
    <x:row r="11">
      <x:c r="A11" s="1" t="str">
        <x:v>Bank of America</x:v>
      </x:c>
      <x:c r="B11" s="1" t="str">
        <x:v>Baseline</x:v>
      </x:c>
      <x:c r="C11" s="1" t="n">
        <x:v>6</x:v>
      </x:c>
      <x:c r="D11" s="14" t="n">
        <x:f>D10+'Assumptions'!C11</x:f>
        <x:v>0.002</x:v>
      </x:c>
      <x:c r="E11" s="14" t="n">
        <x:f>'Assumptions'!D11</x:f>
        <x:v>0</x:v>
      </x:c>
      <x:c r="F11" s="14" t="n">
        <x:f>'Source'!K5+D11</x:f>
        <x:v>0.1284187853824513</x:v>
      </x:c>
      <x:c r="G11" s="14" t="n">
        <x:f>('Source'!F5-'Source'!G5-I11)/'Source'!E5</x:f>
        <x:v>0.37102575995422943</x:v>
      </x:c>
      <x:c r="H11" s="11" t="n">
        <x:f>'Source'!H5-I11</x:f>
        <x:v>2025124000</x:v>
      </x:c>
      <x:c r="I11" s="11" t="n">
        <x:f>'Source'!H5*E11</x:f>
        <x:v>0</x:v>
      </x:c>
      <x:c r="J11" s="11" t="n">
        <x:f>'Source'!I5*L11</x:f>
        <x:v>0</x:v>
      </x:c>
      <x:c r="K11" s="14" t="n">
        <x:f>J11/'Source'!C5</x:f>
        <x:v>0</x:v>
      </x:c>
      <x:c r="L11" s="14" t="n">
        <x:f>'Assumptions'!E11</x:f>
        <x:v>0</x:v>
      </x:c>
      <x:c r="M11" s="14" t="n">
        <x:v>0.128419</x:v>
      </x:c>
      <x:c r="N11" s="14" t="n">
        <x:v>0.371026</x:v>
      </x:c>
      <x:c r="O11" s="1" t="str">
        <x:f>IF(AND(ROUND(F11,6)=M11,ROUND(G11,6)=N11),"PASS","CHECK")</x:f>
        <x:v>PASS</x:v>
      </x:c>
      <x:c r="P11" s="1"/>
    </x:row>
    <x:row r="12">
      <x:c r="A12" s="1" t="str">
        <x:v>Bank of America</x:v>
      </x:c>
      <x:c r="B12" s="1" t="str">
        <x:v>Baseline</x:v>
      </x:c>
      <x:c r="C12" s="1" t="n">
        <x:v>7</x:v>
      </x:c>
      <x:c r="D12" s="14" t="n">
        <x:f>D11+'Assumptions'!C12</x:f>
        <x:v>0.0023333333333333335</x:v>
      </x:c>
      <x:c r="E12" s="14" t="n">
        <x:f>'Assumptions'!D12</x:f>
        <x:v>0</x:v>
      </x:c>
      <x:c r="F12" s="14" t="n">
        <x:f>'Source'!K5+D12</x:f>
        <x:v>0.12875211871578462</x:v>
      </x:c>
      <x:c r="G12" s="14" t="n">
        <x:f>('Source'!F5-'Source'!G5-I12)/'Source'!E5</x:f>
        <x:v>0.37102575995422943</x:v>
      </x:c>
      <x:c r="H12" s="11" t="n">
        <x:f>'Source'!H5-I12</x:f>
        <x:v>2025124000</x:v>
      </x:c>
      <x:c r="I12" s="11" t="n">
        <x:f>'Source'!H5*E12</x:f>
        <x:v>0</x:v>
      </x:c>
      <x:c r="J12" s="11" t="n">
        <x:f>'Source'!I5*L12</x:f>
        <x:v>0</x:v>
      </x:c>
      <x:c r="K12" s="14" t="n">
        <x:f>J12/'Source'!C5</x:f>
        <x:v>0</x:v>
      </x:c>
      <x:c r="L12" s="14" t="n">
        <x:f>'Assumptions'!E12</x:f>
        <x:v>0</x:v>
      </x:c>
      <x:c r="M12" s="14" t="n">
        <x:v>0.128752</x:v>
      </x:c>
      <x:c r="N12" s="14" t="n">
        <x:v>0.371026</x:v>
      </x:c>
      <x:c r="O12" s="1" t="str">
        <x:f>IF(AND(ROUND(F12,6)=M12,ROUND(G12,6)=N12),"PASS","CHECK")</x:f>
        <x:v>PASS</x:v>
      </x:c>
      <x:c r="P12" s="1"/>
    </x:row>
    <x:row r="13">
      <x:c r="A13" s="1" t="str">
        <x:v>Bank of America</x:v>
      </x:c>
      <x:c r="B13" s="1" t="str">
        <x:v>Baseline</x:v>
      </x:c>
      <x:c r="C13" s="1" t="n">
        <x:v>8</x:v>
      </x:c>
      <x:c r="D13" s="14" t="n">
        <x:f>D12+'Assumptions'!C13</x:f>
        <x:v>0.002666666666666667</x:v>
      </x:c>
      <x:c r="E13" s="14" t="n">
        <x:f>'Assumptions'!D13</x:f>
        <x:v>0</x:v>
      </x:c>
      <x:c r="F13" s="14" t="n">
        <x:f>'Source'!K5+D13</x:f>
        <x:v>0.12908545204911798</x:v>
      </x:c>
      <x:c r="G13" s="14" t="n">
        <x:f>('Source'!F5-'Source'!G5-I13)/'Source'!E5</x:f>
        <x:v>0.37102575995422943</x:v>
      </x:c>
      <x:c r="H13" s="11" t="n">
        <x:f>'Source'!H5-I13</x:f>
        <x:v>2025124000</x:v>
      </x:c>
      <x:c r="I13" s="11" t="n">
        <x:f>'Source'!H5*E13</x:f>
        <x:v>0</x:v>
      </x:c>
      <x:c r="J13" s="11" t="n">
        <x:f>'Source'!I5*L13</x:f>
        <x:v>0</x:v>
      </x:c>
      <x:c r="K13" s="14" t="n">
        <x:f>J13/'Source'!C5</x:f>
        <x:v>0</x:v>
      </x:c>
      <x:c r="L13" s="14" t="n">
        <x:f>'Assumptions'!E13</x:f>
        <x:v>0</x:v>
      </x:c>
      <x:c r="M13" s="14" t="n">
        <x:v>0.129085</x:v>
      </x:c>
      <x:c r="N13" s="14" t="n">
        <x:v>0.371026</x:v>
      </x:c>
      <x:c r="O13" s="1" t="str">
        <x:f>IF(AND(ROUND(F13,6)=M13,ROUND(G13,6)=N13),"PASS","CHECK")</x:f>
        <x:v>PASS</x:v>
      </x:c>
      <x:c r="P13" s="1"/>
    </x:row>
    <x:row r="14">
      <x:c r="A14" s="1" t="str">
        <x:v>Bank of America</x:v>
      </x:c>
      <x:c r="B14" s="1" t="str">
        <x:v>Baseline</x:v>
      </x:c>
      <x:c r="C14" s="1" t="n">
        <x:v>9</x:v>
      </x:c>
      <x:c r="D14" s="14" t="n">
        <x:f>D13+'Assumptions'!C14</x:f>
        <x:v>0.0030000000000000005</x:v>
      </x:c>
      <x:c r="E14" s="14" t="n">
        <x:f>'Assumptions'!D14</x:f>
        <x:v>0</x:v>
      </x:c>
      <x:c r="F14" s="14" t="n">
        <x:f>'Source'!K5+D14</x:f>
        <x:v>0.1294187853824513</x:v>
      </x:c>
      <x:c r="G14" s="14" t="n">
        <x:f>('Source'!F5-'Source'!G5-I14)/'Source'!E5</x:f>
        <x:v>0.37102575995422943</x:v>
      </x:c>
      <x:c r="H14" s="11" t="n">
        <x:f>'Source'!H5-I14</x:f>
        <x:v>2025124000</x:v>
      </x:c>
      <x:c r="I14" s="11" t="n">
        <x:f>'Source'!H5*E14</x:f>
        <x:v>0</x:v>
      </x:c>
      <x:c r="J14" s="11" t="n">
        <x:f>'Source'!I5*L14</x:f>
        <x:v>0</x:v>
      </x:c>
      <x:c r="K14" s="14" t="n">
        <x:f>J14/'Source'!C5</x:f>
        <x:v>0</x:v>
      </x:c>
      <x:c r="L14" s="14" t="n">
        <x:f>'Assumptions'!E14</x:f>
        <x:v>0</x:v>
      </x:c>
      <x:c r="M14" s="14" t="n">
        <x:v>0.129419</x:v>
      </x:c>
      <x:c r="N14" s="14" t="n">
        <x:v>0.371026</x:v>
      </x:c>
      <x:c r="O14" s="1" t="str">
        <x:f>IF(AND(ROUND(F14,6)=M14,ROUND(G14,6)=N14),"PASS","CHECK")</x:f>
        <x:v>PASS</x:v>
      </x:c>
      <x:c r="P14" s="1"/>
    </x:row>
    <x:row r="15">
      <x:c r="A15" s="1" t="str">
        <x:v>Bank of America</x:v>
      </x:c>
      <x:c r="B15" s="1" t="str">
        <x:v>Adverse</x:v>
      </x:c>
      <x:c r="C15" s="1" t="n">
        <x:v>0</x:v>
      </x:c>
      <x:c r="D15" s="14" t="n">
        <x:f>'Assumptions'!C15</x:f>
        <x:v>0</x:v>
      </x:c>
      <x:c r="E15" s="14" t="n">
        <x:f>'Assumptions'!D15</x:f>
        <x:v>0</x:v>
      </x:c>
      <x:c r="F15" s="14" t="n">
        <x:f>'Source'!K5+D15</x:f>
        <x:v>0.1264187853824513</x:v>
      </x:c>
      <x:c r="G15" s="14" t="n">
        <x:f>('Source'!F5-'Source'!G5-I15)/'Source'!E5</x:f>
        <x:v>0.37102575995422943</x:v>
      </x:c>
      <x:c r="H15" s="11" t="n">
        <x:f>'Source'!H5-I15</x:f>
        <x:v>2025124000</x:v>
      </x:c>
      <x:c r="I15" s="11" t="n">
        <x:f>'Source'!H5*E15</x:f>
        <x:v>0</x:v>
      </x:c>
      <x:c r="J15" s="11" t="n">
        <x:f>'Source'!I5*L15</x:f>
        <x:v>0</x:v>
      </x:c>
      <x:c r="K15" s="14" t="n">
        <x:f>J15/'Source'!C5</x:f>
        <x:v>0</x:v>
      </x:c>
      <x:c r="L15" s="14" t="n">
        <x:f>'Assumptions'!E15</x:f>
        <x:v>0</x:v>
      </x:c>
      <x:c r="M15" s="14" t="n">
        <x:v>0.126419</x:v>
      </x:c>
      <x:c r="N15" s="14" t="n">
        <x:v>0.371026</x:v>
      </x:c>
      <x:c r="O15" s="1" t="str">
        <x:f>IF(AND(ROUND(F15,6)=M15,ROUND(G15,6)=N15),"PASS","CHECK")</x:f>
        <x:v>PASS</x:v>
      </x:c>
      <x:c r="P15" s="1"/>
    </x:row>
    <x:row r="16">
      <x:c r="A16" s="1" t="str">
        <x:v>Bank of America</x:v>
      </x:c>
      <x:c r="B16" s="1" t="str">
        <x:v>Adverse</x:v>
      </x:c>
      <x:c r="C16" s="1" t="n">
        <x:v>1</x:v>
      </x:c>
      <x:c r="D16" s="14" t="n">
        <x:f>D15+'Assumptions'!C16</x:f>
        <x:v>-0.002</x:v>
      </x:c>
      <x:c r="E16" s="14" t="n">
        <x:f>'Assumptions'!D16</x:f>
        <x:v>0.0125</x:v>
      </x:c>
      <x:c r="F16" s="14" t="n">
        <x:f>'Source'!K5+D16</x:f>
        <x:v>0.1244187853824513</x:v>
      </x:c>
      <x:c r="G16" s="14" t="n">
        <x:f>('Source'!F5-'Source'!G5-I16)/'Source'!E5</x:f>
        <x:v>0.36379150209291233</x:v>
      </x:c>
      <x:c r="H16" s="11" t="n">
        <x:f>'Source'!H5-I16</x:f>
        <x:v>1999809950</x:v>
      </x:c>
      <x:c r="I16" s="11" t="n">
        <x:f>'Source'!H5*E16</x:f>
        <x:v>25314050</x:v>
      </x:c>
      <x:c r="J16" s="11" t="n">
        <x:f>'Source'!I5*L16</x:f>
        <x:v>6407745</x:v>
      </x:c>
      <x:c r="K16" s="14" t="n">
        <x:f>J16/'Source'!C5</x:f>
        <x:v>0.028281774125207444</x:v>
      </x:c>
      <x:c r="L16" s="14" t="n">
        <x:f>'Assumptions'!E16</x:f>
        <x:v>0.0075</x:v>
      </x:c>
      <x:c r="M16" s="14" t="n">
        <x:v>0.124419</x:v>
      </x:c>
      <x:c r="N16" s="14" t="n">
        <x:v>0.363792</x:v>
      </x:c>
      <x:c r="O16" s="1" t="str">
        <x:f>IF(AND(ROUND(F16,6)=M16,ROUND(G16,6)=N16),"PASS","CHECK")</x:f>
        <x:v>PASS</x:v>
      </x:c>
      <x:c r="P16" s="1"/>
    </x:row>
    <x:row r="17">
      <x:c r="A17" s="1" t="str">
        <x:v>Bank of America</x:v>
      </x:c>
      <x:c r="B17" s="1" t="str">
        <x:v>Adverse</x:v>
      </x:c>
      <x:c r="C17" s="1" t="n">
        <x:v>2</x:v>
      </x:c>
      <x:c r="D17" s="14" t="n">
        <x:f>D16+'Assumptions'!C17</x:f>
        <x:v>-0.004</x:v>
      </x:c>
      <x:c r="E17" s="14" t="n">
        <x:f>'Assumptions'!D17</x:f>
        <x:v>0.025</x:v>
      </x:c>
      <x:c r="F17" s="14" t="n">
        <x:f>'Source'!K5+D17</x:f>
        <x:v>0.1224187853824513</x:v>
      </x:c>
      <x:c r="G17" s="14" t="n">
        <x:f>('Source'!F5-'Source'!G5-I17)/'Source'!E5</x:f>
        <x:v>0.35655724423159524</x:v>
      </x:c>
      <x:c r="H17" s="11" t="n">
        <x:f>'Source'!H5-I17</x:f>
        <x:v>1974495900</x:v>
      </x:c>
      <x:c r="I17" s="11" t="n">
        <x:f>'Source'!H5*E17</x:f>
        <x:v>50628100</x:v>
      </x:c>
      <x:c r="J17" s="11" t="n">
        <x:f>'Source'!I5*L17</x:f>
        <x:v>12815490</x:v>
      </x:c>
      <x:c r="K17" s="14" t="n">
        <x:f>J17/'Source'!C5</x:f>
        <x:v>0.05656354825041489</x:v>
      </x:c>
      <x:c r="L17" s="14" t="n">
        <x:f>'Assumptions'!E17</x:f>
        <x:v>0.015</x:v>
      </x:c>
      <x:c r="M17" s="14" t="n">
        <x:v>0.122419</x:v>
      </x:c>
      <x:c r="N17" s="14" t="n">
        <x:v>0.356557</x:v>
      </x:c>
      <x:c r="O17" s="1" t="str">
        <x:f>IF(AND(ROUND(F17,6)=M17,ROUND(G17,6)=N17),"PASS","CHECK")</x:f>
        <x:v>PASS</x:v>
      </x:c>
      <x:c r="P17" s="1"/>
    </x:row>
    <x:row r="18">
      <x:c r="A18" s="1" t="str">
        <x:v>Bank of America</x:v>
      </x:c>
      <x:c r="B18" s="1" t="str">
        <x:v>Adverse</x:v>
      </x:c>
      <x:c r="C18" s="1" t="n">
        <x:v>3</x:v>
      </x:c>
      <x:c r="D18" s="14" t="n">
        <x:f>D17+'Assumptions'!C18</x:f>
        <x:v>-0.006</x:v>
      </x:c>
      <x:c r="E18" s="14" t="n">
        <x:f>'Assumptions'!D18</x:f>
        <x:v>0.037500000000000006</x:v>
      </x:c>
      <x:c r="F18" s="14" t="n">
        <x:f>'Source'!K5+D18</x:f>
        <x:v>0.1204187853824513</x:v>
      </x:c>
      <x:c r="G18" s="14" t="n">
        <x:f>('Source'!F5-'Source'!G5-I18)/'Source'!E5</x:f>
        <x:v>0.34932298637027814</x:v>
      </x:c>
      <x:c r="H18" s="11" t="n">
        <x:f>'Source'!H5-I18</x:f>
        <x:v>1949181850</x:v>
      </x:c>
      <x:c r="I18" s="11" t="n">
        <x:f>'Source'!H5*E18</x:f>
        <x:v>75942150.00000001</x:v>
      </x:c>
      <x:c r="J18" s="11" t="n">
        <x:f>'Source'!I5*L18</x:f>
        <x:v>19223235</x:v>
      </x:c>
      <x:c r="K18" s="14" t="n">
        <x:f>J18/'Source'!C5</x:f>
        <x:v>0.08484532237562233</x:v>
      </x:c>
      <x:c r="L18" s="14" t="n">
        <x:f>'Assumptions'!E18</x:f>
        <x:v>0.0225</x:v>
      </x:c>
      <x:c r="M18" s="14" t="n">
        <x:v>0.120419</x:v>
      </x:c>
      <x:c r="N18" s="14" t="n">
        <x:v>0.349323</x:v>
      </x:c>
      <x:c r="O18" s="1" t="str">
        <x:f>IF(AND(ROUND(F18,6)=M18,ROUND(G18,6)=N18),"PASS","CHECK")</x:f>
        <x:v>PASS</x:v>
      </x:c>
      <x:c r="P18" s="1"/>
    </x:row>
    <x:row r="19">
      <x:c r="A19" s="1" t="str">
        <x:v>Bank of America</x:v>
      </x:c>
      <x:c r="B19" s="1" t="str">
        <x:v>Adverse</x:v>
      </x:c>
      <x:c r="C19" s="1" t="n">
        <x:v>4</x:v>
      </x:c>
      <x:c r="D19" s="14" t="n">
        <x:f>D18+'Assumptions'!C19</x:f>
        <x:v>-0.008</x:v>
      </x:c>
      <x:c r="E19" s="14" t="n">
        <x:f>'Assumptions'!D19</x:f>
        <x:v>0.05</x:v>
      </x:c>
      <x:c r="F19" s="14" t="n">
        <x:f>'Source'!K5+D19</x:f>
        <x:v>0.11841878538245129</x:v>
      </x:c>
      <x:c r="G19" s="14" t="n">
        <x:f>('Source'!F5-'Source'!G5-I19)/'Source'!E5</x:f>
        <x:v>0.34208872850896105</x:v>
      </x:c>
      <x:c r="H19" s="11" t="n">
        <x:f>'Source'!H5-I19</x:f>
        <x:v>1923867800</x:v>
      </x:c>
      <x:c r="I19" s="11" t="n">
        <x:f>'Source'!H5*E19</x:f>
        <x:v>101256200</x:v>
      </x:c>
      <x:c r="J19" s="11" t="n">
        <x:f>'Source'!I5*L19</x:f>
        <x:v>25630980</x:v>
      </x:c>
      <x:c r="K19" s="14" t="n">
        <x:f>J19/'Source'!C5</x:f>
        <x:v>0.11312709650082978</x:v>
      </x:c>
      <x:c r="L19" s="14" t="n">
        <x:f>'Assumptions'!E19</x:f>
        <x:v>0.03</x:v>
      </x:c>
      <x:c r="M19" s="14" t="n">
        <x:v>0.118419</x:v>
      </x:c>
      <x:c r="N19" s="14" t="n">
        <x:v>0.342089</x:v>
      </x:c>
      <x:c r="O19" s="1" t="str">
        <x:f>IF(AND(ROUND(F19,6)=M19,ROUND(G19,6)=N19),"PASS","CHECK")</x:f>
        <x:v>PASS</x:v>
      </x:c>
      <x:c r="P19" s="1"/>
    </x:row>
    <x:row r="20">
      <x:c r="A20" s="1" t="str">
        <x:v>Bank of America</x:v>
      </x:c>
      <x:c r="B20" s="1" t="str">
        <x:v>Adverse</x:v>
      </x:c>
      <x:c r="C20" s="1" t="n">
        <x:v>5</x:v>
      </x:c>
      <x:c r="D20" s="14" t="n">
        <x:f>D19+'Assumptions'!C20</x:f>
        <x:v>-0.01</x:v>
      </x:c>
      <x:c r="E20" s="14" t="n">
        <x:f>'Assumptions'!D20</x:f>
        <x:v>0.05</x:v>
      </x:c>
      <x:c r="F20" s="14" t="n">
        <x:f>'Source'!K5+D20</x:f>
        <x:v>0.1164187853824513</x:v>
      </x:c>
      <x:c r="G20" s="14" t="n">
        <x:f>('Source'!F5-'Source'!G5-I20)/'Source'!E5</x:f>
        <x:v>0.34208872850896105</x:v>
      </x:c>
      <x:c r="H20" s="11" t="n">
        <x:f>'Source'!H5-I20</x:f>
        <x:v>1923867800</x:v>
      </x:c>
      <x:c r="I20" s="11" t="n">
        <x:f>'Source'!H5*E20</x:f>
        <x:v>101256200</x:v>
      </x:c>
      <x:c r="J20" s="11" t="n">
        <x:f>'Source'!I5*L20</x:f>
        <x:v>25630980</x:v>
      </x:c>
      <x:c r="K20" s="14" t="n">
        <x:f>J20/'Source'!C5</x:f>
        <x:v>0.11312709650082978</x:v>
      </x:c>
      <x:c r="L20" s="14" t="n">
        <x:f>'Assumptions'!E20</x:f>
        <x:v>0.03</x:v>
      </x:c>
      <x:c r="M20" s="14" t="n">
        <x:v>0.116419</x:v>
      </x:c>
      <x:c r="N20" s="14" t="n">
        <x:v>0.342089</x:v>
      </x:c>
      <x:c r="O20" s="1" t="str">
        <x:f>IF(AND(ROUND(F20,6)=M20,ROUND(G20,6)=N20),"PASS","CHECK")</x:f>
        <x:v>PASS</x:v>
      </x:c>
      <x:c r="P20" s="1"/>
    </x:row>
    <x:row r="21">
      <x:c r="A21" s="1" t="str">
        <x:v>Bank of America</x:v>
      </x:c>
      <x:c r="B21" s="1" t="str">
        <x:v>Adverse</x:v>
      </x:c>
      <x:c r="C21" s="1" t="n">
        <x:v>6</x:v>
      </x:c>
      <x:c r="D21" s="14" t="n">
        <x:f>D20+'Assumptions'!C21</x:f>
        <x:v>-0.01</x:v>
      </x:c>
      <x:c r="E21" s="14" t="n">
        <x:f>'Assumptions'!D21</x:f>
        <x:v>0.05</x:v>
      </x:c>
      <x:c r="F21" s="14" t="n">
        <x:f>'Source'!K5+D21</x:f>
        <x:v>0.1164187853824513</x:v>
      </x:c>
      <x:c r="G21" s="14" t="n">
        <x:f>('Source'!F5-'Source'!G5-I21)/'Source'!E5</x:f>
        <x:v>0.34208872850896105</x:v>
      </x:c>
      <x:c r="H21" s="11" t="n">
        <x:f>'Source'!H5-I21</x:f>
        <x:v>1923867800</x:v>
      </x:c>
      <x:c r="I21" s="11" t="n">
        <x:f>'Source'!H5*E21</x:f>
        <x:v>101256200</x:v>
      </x:c>
      <x:c r="J21" s="11" t="n">
        <x:f>'Source'!I5*L21</x:f>
        <x:v>25630980</x:v>
      </x:c>
      <x:c r="K21" s="14" t="n">
        <x:f>J21/'Source'!C5</x:f>
        <x:v>0.11312709650082978</x:v>
      </x:c>
      <x:c r="L21" s="14" t="n">
        <x:f>'Assumptions'!E21</x:f>
        <x:v>0.03</x:v>
      </x:c>
      <x:c r="M21" s="14" t="n">
        <x:v>0.116419</x:v>
      </x:c>
      <x:c r="N21" s="14" t="n">
        <x:v>0.342089</x:v>
      </x:c>
      <x:c r="O21" s="1" t="str">
        <x:f>IF(AND(ROUND(F21,6)=M21,ROUND(G21,6)=N21),"PASS","CHECK")</x:f>
        <x:v>PASS</x:v>
      </x:c>
      <x:c r="P21" s="1"/>
    </x:row>
    <x:row r="22">
      <x:c r="A22" s="1" t="str">
        <x:v>Bank of America</x:v>
      </x:c>
      <x:c r="B22" s="1" t="str">
        <x:v>Adverse</x:v>
      </x:c>
      <x:c r="C22" s="1" t="n">
        <x:v>7</x:v>
      </x:c>
      <x:c r="D22" s="14" t="n">
        <x:f>D21+'Assumptions'!C22</x:f>
        <x:v>-0.01</x:v>
      </x:c>
      <x:c r="E22" s="14" t="n">
        <x:f>'Assumptions'!D22</x:f>
        <x:v>0.05</x:v>
      </x:c>
      <x:c r="F22" s="14" t="n">
        <x:f>'Source'!K5+D22</x:f>
        <x:v>0.1164187853824513</x:v>
      </x:c>
      <x:c r="G22" s="14" t="n">
        <x:f>('Source'!F5-'Source'!G5-I22)/'Source'!E5</x:f>
        <x:v>0.34208872850896105</x:v>
      </x:c>
      <x:c r="H22" s="11" t="n">
        <x:f>'Source'!H5-I22</x:f>
        <x:v>1923867800</x:v>
      </x:c>
      <x:c r="I22" s="11" t="n">
        <x:f>'Source'!H5*E22</x:f>
        <x:v>101256200</x:v>
      </x:c>
      <x:c r="J22" s="11" t="n">
        <x:f>'Source'!I5*L22</x:f>
        <x:v>25630980</x:v>
      </x:c>
      <x:c r="K22" s="14" t="n">
        <x:f>J22/'Source'!C5</x:f>
        <x:v>0.11312709650082978</x:v>
      </x:c>
      <x:c r="L22" s="14" t="n">
        <x:f>'Assumptions'!E22</x:f>
        <x:v>0.03</x:v>
      </x:c>
      <x:c r="M22" s="14" t="n">
        <x:v>0.116419</x:v>
      </x:c>
      <x:c r="N22" s="14" t="n">
        <x:v>0.342089</x:v>
      </x:c>
      <x:c r="O22" s="1" t="str">
        <x:f>IF(AND(ROUND(F22,6)=M22,ROUND(G22,6)=N22),"PASS","CHECK")</x:f>
        <x:v>PASS</x:v>
      </x:c>
      <x:c r="P22" s="1"/>
    </x:row>
    <x:row r="23">
      <x:c r="A23" s="1" t="str">
        <x:v>Bank of America</x:v>
      </x:c>
      <x:c r="B23" s="1" t="str">
        <x:v>Adverse</x:v>
      </x:c>
      <x:c r="C23" s="1" t="n">
        <x:v>8</x:v>
      </x:c>
      <x:c r="D23" s="14" t="n">
        <x:f>D22+'Assumptions'!C23</x:f>
        <x:v>-0.01</x:v>
      </x:c>
      <x:c r="E23" s="14" t="n">
        <x:f>'Assumptions'!D23</x:f>
        <x:v>0.05</x:v>
      </x:c>
      <x:c r="F23" s="14" t="n">
        <x:f>'Source'!K5+D23</x:f>
        <x:v>0.1164187853824513</x:v>
      </x:c>
      <x:c r="G23" s="14" t="n">
        <x:f>('Source'!F5-'Source'!G5-I23)/'Source'!E5</x:f>
        <x:v>0.34208872850896105</x:v>
      </x:c>
      <x:c r="H23" s="11" t="n">
        <x:f>'Source'!H5-I23</x:f>
        <x:v>1923867800</x:v>
      </x:c>
      <x:c r="I23" s="11" t="n">
        <x:f>'Source'!H5*E23</x:f>
        <x:v>101256200</x:v>
      </x:c>
      <x:c r="J23" s="11" t="n">
        <x:f>'Source'!I5*L23</x:f>
        <x:v>25630980</x:v>
      </x:c>
      <x:c r="K23" s="14" t="n">
        <x:f>J23/'Source'!C5</x:f>
        <x:v>0.11312709650082978</x:v>
      </x:c>
      <x:c r="L23" s="14" t="n">
        <x:f>'Assumptions'!E23</x:f>
        <x:v>0.03</x:v>
      </x:c>
      <x:c r="M23" s="14" t="n">
        <x:v>0.116419</x:v>
      </x:c>
      <x:c r="N23" s="14" t="n">
        <x:v>0.342089</x:v>
      </x:c>
      <x:c r="O23" s="1" t="str">
        <x:f>IF(AND(ROUND(F23,6)=M23,ROUND(G23,6)=N23),"PASS","CHECK")</x:f>
        <x:v>PASS</x:v>
      </x:c>
      <x:c r="P23" s="1"/>
    </x:row>
    <x:row r="24">
      <x:c r="A24" s="1" t="str">
        <x:v>Bank of America</x:v>
      </x:c>
      <x:c r="B24" s="1" t="str">
        <x:v>Adverse</x:v>
      </x:c>
      <x:c r="C24" s="1" t="n">
        <x:v>9</x:v>
      </x:c>
      <x:c r="D24" s="14" t="n">
        <x:f>D23+'Assumptions'!C24</x:f>
        <x:v>-0.01</x:v>
      </x:c>
      <x:c r="E24" s="14" t="n">
        <x:f>'Assumptions'!D24</x:f>
        <x:v>0.05</x:v>
      </x:c>
      <x:c r="F24" s="14" t="n">
        <x:f>'Source'!K5+D24</x:f>
        <x:v>0.1164187853824513</x:v>
      </x:c>
      <x:c r="G24" s="14" t="n">
        <x:f>('Source'!F5-'Source'!G5-I24)/'Source'!E5</x:f>
        <x:v>0.34208872850896105</x:v>
      </x:c>
      <x:c r="H24" s="11" t="n">
        <x:f>'Source'!H5-I24</x:f>
        <x:v>1923867800</x:v>
      </x:c>
      <x:c r="I24" s="11" t="n">
        <x:f>'Source'!H5*E24</x:f>
        <x:v>101256200</x:v>
      </x:c>
      <x:c r="J24" s="11" t="n">
        <x:f>'Source'!I5*L24</x:f>
        <x:v>25630980</x:v>
      </x:c>
      <x:c r="K24" s="14" t="n">
        <x:f>J24/'Source'!C5</x:f>
        <x:v>0.11312709650082978</x:v>
      </x:c>
      <x:c r="L24" s="14" t="n">
        <x:f>'Assumptions'!E24</x:f>
        <x:v>0.03</x:v>
      </x:c>
      <x:c r="M24" s="14" t="n">
        <x:v>0.116419</x:v>
      </x:c>
      <x:c r="N24" s="14" t="n">
        <x:v>0.342089</x:v>
      </x:c>
      <x:c r="O24" s="1" t="str">
        <x:f>IF(AND(ROUND(F24,6)=M24,ROUND(G24,6)=N24),"PASS","CHECK")</x:f>
        <x:v>PASS</x:v>
      </x:c>
      <x:c r="P24" s="1"/>
    </x:row>
    <x:row r="25">
      <x:c r="A25" s="1" t="str">
        <x:v>Bank of America</x:v>
      </x:c>
      <x:c r="B25" s="1" t="str">
        <x:v>Severely Adverse</x:v>
      </x:c>
      <x:c r="C25" s="1" t="n">
        <x:v>0</x:v>
      </x:c>
      <x:c r="D25" s="14" t="n">
        <x:f>'Assumptions'!C25</x:f>
        <x:v>0</x:v>
      </x:c>
      <x:c r="E25" s="14" t="n">
        <x:f>'Assumptions'!D25</x:f>
        <x:v>0</x:v>
      </x:c>
      <x:c r="F25" s="14" t="n">
        <x:f>'Source'!K5+D25</x:f>
        <x:v>0.1264187853824513</x:v>
      </x:c>
      <x:c r="G25" s="14" t="n">
        <x:f>('Source'!F5-'Source'!G5-I25)/'Source'!E5</x:f>
        <x:v>0.37102575995422943</x:v>
      </x:c>
      <x:c r="H25" s="11" t="n">
        <x:f>'Source'!H5-I25</x:f>
        <x:v>2025124000</x:v>
      </x:c>
      <x:c r="I25" s="11" t="n">
        <x:f>'Source'!H5*E25</x:f>
        <x:v>0</x:v>
      </x:c>
      <x:c r="J25" s="11" t="n">
        <x:f>'Source'!I5*L25</x:f>
        <x:v>0</x:v>
      </x:c>
      <x:c r="K25" s="14" t="n">
        <x:f>J25/'Source'!C5</x:f>
        <x:v>0</x:v>
      </x:c>
      <x:c r="L25" s="14" t="n">
        <x:f>'Assumptions'!E25</x:f>
        <x:v>0</x:v>
      </x:c>
      <x:c r="M25" s="14" t="n">
        <x:v>0.126419</x:v>
      </x:c>
      <x:c r="N25" s="14" t="n">
        <x:v>0.371026</x:v>
      </x:c>
      <x:c r="O25" s="1" t="str">
        <x:f>IF(AND(ROUND(F25,6)=M25,ROUND(G25,6)=N25),"PASS","CHECK")</x:f>
        <x:v>PASS</x:v>
      </x:c>
      <x:c r="P25" s="1"/>
    </x:row>
    <x:row r="26">
      <x:c r="A26" s="1" t="str">
        <x:v>Bank of America</x:v>
      </x:c>
      <x:c r="B26" s="1" t="str">
        <x:v>Severely Adverse</x:v>
      </x:c>
      <x:c r="C26" s="1" t="n">
        <x:v>1</x:v>
      </x:c>
      <x:c r="D26" s="14" t="n">
        <x:f>D25+'Assumptions'!C26</x:f>
        <x:v>-0.006</x:v>
      </x:c>
      <x:c r="E26" s="14" t="n">
        <x:f>'Assumptions'!D26</x:f>
        <x:v>0.075</x:v>
      </x:c>
      <x:c r="F26" s="14" t="n">
        <x:f>'Source'!K5+D26</x:f>
        <x:v>0.1204187853824513</x:v>
      </x:c>
      <x:c r="G26" s="14" t="n">
        <x:f>('Source'!F5-'Source'!G5-I26)/'Source'!E5</x:f>
        <x:v>0.3276202127863269</x:v>
      </x:c>
      <x:c r="H26" s="11" t="n">
        <x:f>'Source'!H5-I26</x:f>
        <x:v>1873239700</x:v>
      </x:c>
      <x:c r="I26" s="11" t="n">
        <x:f>'Source'!H5*E26</x:f>
        <x:v>151884300</x:v>
      </x:c>
      <x:c r="J26" s="11" t="n">
        <x:f>'Source'!I5*L26</x:f>
        <x:v>42718300</x:v>
      </x:c>
      <x:c r="K26" s="14" t="n">
        <x:f>J26/'Source'!C5</x:f>
        <x:v>0.18854516083471629</x:v>
      </x:c>
      <x:c r="L26" s="14" t="n">
        <x:f>'Assumptions'!E26</x:f>
        <x:v>0.05</x:v>
      </x:c>
      <x:c r="M26" s="14" t="n">
        <x:v>0.120419</x:v>
      </x:c>
      <x:c r="N26" s="14" t="n">
        <x:v>0.32762</x:v>
      </x:c>
      <x:c r="O26" s="1" t="str">
        <x:f>IF(AND(ROUND(F26,6)=M26,ROUND(G26,6)=N26),"PASS","CHECK")</x:f>
        <x:v>PASS</x:v>
      </x:c>
      <x:c r="P26" s="1"/>
    </x:row>
    <x:row r="27">
      <x:c r="A27" s="1" t="str">
        <x:v>Bank of America</x:v>
      </x:c>
      <x:c r="B27" s="1" t="str">
        <x:v>Severely Adverse</x:v>
      </x:c>
      <x:c r="C27" s="1" t="n">
        <x:v>2</x:v>
      </x:c>
      <x:c r="D27" s="14" t="n">
        <x:f>D26+'Assumptions'!C27</x:f>
        <x:v>-0.011</x:v>
      </x:c>
      <x:c r="E27" s="14" t="n">
        <x:f>'Assumptions'!D27</x:f>
        <x:v>0.15</x:v>
      </x:c>
      <x:c r="F27" s="14" t="n">
        <x:f>'Source'!K5+D27</x:f>
        <x:v>0.1154187853824513</x:v>
      </x:c>
      <x:c r="G27" s="14" t="n">
        <x:f>('Source'!F5-'Source'!G5-I27)/'Source'!E5</x:f>
        <x:v>0.2842146656184244</x:v>
      </x:c>
      <x:c r="H27" s="11" t="n">
        <x:f>'Source'!H5-I27</x:f>
        <x:v>1721355400</x:v>
      </x:c>
      <x:c r="I27" s="11" t="n">
        <x:f>'Source'!H5*E27</x:f>
        <x:v>303768600</x:v>
      </x:c>
      <x:c r="J27" s="11" t="n">
        <x:f>'Source'!I5*L27</x:f>
        <x:v>85436600</x:v>
      </x:c>
      <x:c r="K27" s="14" t="n">
        <x:f>J27/'Source'!C5</x:f>
        <x:v>0.37709032166943257</x:v>
      </x:c>
      <x:c r="L27" s="14" t="n">
        <x:f>'Assumptions'!E27</x:f>
        <x:v>0.1</x:v>
      </x:c>
      <x:c r="M27" s="14" t="n">
        <x:v>0.115419</x:v>
      </x:c>
      <x:c r="N27" s="14" t="n">
        <x:v>0.284215</x:v>
      </x:c>
      <x:c r="O27" s="1" t="str">
        <x:f>IF(AND(ROUND(F27,6)=M27,ROUND(G27,6)=N27),"PASS","CHECK")</x:f>
        <x:v>PASS</x:v>
      </x:c>
      <x:c r="P27" s="1"/>
    </x:row>
    <x:row r="28">
      <x:c r="A28" s="1" t="str">
        <x:v>Bank of America</x:v>
      </x:c>
      <x:c r="B28" s="1" t="str">
        <x:v>Severely Adverse</x:v>
      </x:c>
      <x:c r="C28" s="1" t="n">
        <x:v>3</x:v>
      </x:c>
      <x:c r="D28" s="14" t="n">
        <x:f>D27+'Assumptions'!C28</x:f>
        <x:v>-0.015</x:v>
      </x:c>
      <x:c r="E28" s="14" t="n">
        <x:f>'Assumptions'!D28</x:f>
        <x:v>0.15</x:v>
      </x:c>
      <x:c r="F28" s="14" t="n">
        <x:f>'Source'!K5+D28</x:f>
        <x:v>0.1114187853824513</x:v>
      </x:c>
      <x:c r="G28" s="14" t="n">
        <x:f>('Source'!F5-'Source'!G5-I28)/'Source'!E5</x:f>
        <x:v>0.2842146656184244</x:v>
      </x:c>
      <x:c r="H28" s="11" t="n">
        <x:f>'Source'!H5-I28</x:f>
        <x:v>1721355400</x:v>
      </x:c>
      <x:c r="I28" s="11" t="n">
        <x:f>'Source'!H5*E28</x:f>
        <x:v>303768600</x:v>
      </x:c>
      <x:c r="J28" s="11" t="n">
        <x:f>'Source'!I5*L28</x:f>
        <x:v>85436600</x:v>
      </x:c>
      <x:c r="K28" s="14" t="n">
        <x:f>J28/'Source'!C5</x:f>
        <x:v>0.37709032166943257</x:v>
      </x:c>
      <x:c r="L28" s="14" t="n">
        <x:f>'Assumptions'!E28</x:f>
        <x:v>0.1</x:v>
      </x:c>
      <x:c r="M28" s="14" t="n">
        <x:v>0.111419</x:v>
      </x:c>
      <x:c r="N28" s="14" t="n">
        <x:v>0.284215</x:v>
      </x:c>
      <x:c r="O28" s="1" t="str">
        <x:f>IF(AND(ROUND(F28,6)=M28,ROUND(G28,6)=N28),"PASS","CHECK")</x:f>
        <x:v>PASS</x:v>
      </x:c>
      <x:c r="P28" s="1"/>
    </x:row>
    <x:row r="29">
      <x:c r="A29" s="1" t="str">
        <x:v>Bank of America</x:v>
      </x:c>
      <x:c r="B29" s="1" t="str">
        <x:v>Severely Adverse</x:v>
      </x:c>
      <x:c r="C29" s="1" t="n">
        <x:v>4</x:v>
      </x:c>
      <x:c r="D29" s="14" t="n">
        <x:f>D28+'Assumptions'!C29</x:f>
        <x:v>-0.018</x:v>
      </x:c>
      <x:c r="E29" s="14" t="n">
        <x:f>'Assumptions'!D29</x:f>
        <x:v>0.15</x:v>
      </x:c>
      <x:c r="F29" s="14" t="n">
        <x:f>'Source'!K5+D29</x:f>
        <x:v>0.1084187853824513</x:v>
      </x:c>
      <x:c r="G29" s="14" t="n">
        <x:f>('Source'!F5-'Source'!G5-I29)/'Source'!E5</x:f>
        <x:v>0.2842146656184244</x:v>
      </x:c>
      <x:c r="H29" s="11" t="n">
        <x:f>'Source'!H5-I29</x:f>
        <x:v>1721355400</x:v>
      </x:c>
      <x:c r="I29" s="11" t="n">
        <x:f>'Source'!H5*E29</x:f>
        <x:v>303768600</x:v>
      </x:c>
      <x:c r="J29" s="11" t="n">
        <x:f>'Source'!I5*L29</x:f>
        <x:v>85436600</x:v>
      </x:c>
      <x:c r="K29" s="14" t="n">
        <x:f>J29/'Source'!C5</x:f>
        <x:v>0.37709032166943257</x:v>
      </x:c>
      <x:c r="L29" s="14" t="n">
        <x:f>'Assumptions'!E29</x:f>
        <x:v>0.1</x:v>
      </x:c>
      <x:c r="M29" s="14" t="n">
        <x:v>0.108419</x:v>
      </x:c>
      <x:c r="N29" s="14" t="n">
        <x:v>0.284215</x:v>
      </x:c>
      <x:c r="O29" s="1" t="str">
        <x:f>IF(AND(ROUND(F29,6)=M29,ROUND(G29,6)=N29),"PASS","CHECK")</x:f>
        <x:v>PASS</x:v>
      </x:c>
      <x:c r="P29" s="1"/>
    </x:row>
    <x:row r="30">
      <x:c r="A30" s="1" t="str">
        <x:v>Bank of America</x:v>
      </x:c>
      <x:c r="B30" s="1" t="str">
        <x:v>Severely Adverse</x:v>
      </x:c>
      <x:c r="C30" s="1" t="n">
        <x:v>5</x:v>
      </x:c>
      <x:c r="D30" s="14" t="n">
        <x:f>D29+'Assumptions'!C30</x:f>
        <x:v>-0.016999999999999998</x:v>
      </x:c>
      <x:c r="E30" s="14" t="n">
        <x:f>'Assumptions'!D30</x:f>
        <x:v>0.15</x:v>
      </x:c>
      <x:c r="F30" s="14" t="n">
        <x:f>'Source'!K5+D30</x:f>
        <x:v>0.1094187853824513</x:v>
      </x:c>
      <x:c r="G30" s="14" t="n">
        <x:f>('Source'!F5-'Source'!G5-I30)/'Source'!E5</x:f>
        <x:v>0.2842146656184244</x:v>
      </x:c>
      <x:c r="H30" s="11" t="n">
        <x:f>'Source'!H5-I30</x:f>
        <x:v>1721355400</x:v>
      </x:c>
      <x:c r="I30" s="11" t="n">
        <x:f>'Source'!H5*E30</x:f>
        <x:v>303768600</x:v>
      </x:c>
      <x:c r="J30" s="11" t="n">
        <x:f>'Source'!I5*L30</x:f>
        <x:v>85436600</x:v>
      </x:c>
      <x:c r="K30" s="14" t="n">
        <x:f>J30/'Source'!C5</x:f>
        <x:v>0.37709032166943257</x:v>
      </x:c>
      <x:c r="L30" s="14" t="n">
        <x:f>'Assumptions'!E30</x:f>
        <x:v>0.1</x:v>
      </x:c>
      <x:c r="M30" s="14" t="n">
        <x:v>0.109419</x:v>
      </x:c>
      <x:c r="N30" s="14" t="n">
        <x:v>0.284215</x:v>
      </x:c>
      <x:c r="O30" s="1" t="str">
        <x:f>IF(AND(ROUND(F30,6)=M30,ROUND(G30,6)=N30),"PASS","CHECK")</x:f>
        <x:v>PASS</x:v>
      </x:c>
      <x:c r="P30" s="1"/>
    </x:row>
    <x:row r="31">
      <x:c r="A31" s="1" t="str">
        <x:v>Bank of America</x:v>
      </x:c>
      <x:c r="B31" s="1" t="str">
        <x:v>Severely Adverse</x:v>
      </x:c>
      <x:c r="C31" s="1" t="n">
        <x:v>6</x:v>
      </x:c>
      <x:c r="D31" s="14" t="n">
        <x:f>D30+'Assumptions'!C31</x:f>
        <x:v>-0.015999999999999997</x:v>
      </x:c>
      <x:c r="E31" s="14" t="n">
        <x:f>'Assumptions'!D31</x:f>
        <x:v>0.15</x:v>
      </x:c>
      <x:c r="F31" s="14" t="n">
        <x:f>'Source'!K5+D31</x:f>
        <x:v>0.1104187853824513</x:v>
      </x:c>
      <x:c r="G31" s="14" t="n">
        <x:f>('Source'!F5-'Source'!G5-I31)/'Source'!E5</x:f>
        <x:v>0.2842146656184244</x:v>
      </x:c>
      <x:c r="H31" s="11" t="n">
        <x:f>'Source'!H5-I31</x:f>
        <x:v>1721355400</x:v>
      </x:c>
      <x:c r="I31" s="11" t="n">
        <x:f>'Source'!H5*E31</x:f>
        <x:v>303768600</x:v>
      </x:c>
      <x:c r="J31" s="11" t="n">
        <x:f>'Source'!I5*L31</x:f>
        <x:v>85436600</x:v>
      </x:c>
      <x:c r="K31" s="14" t="n">
        <x:f>J31/'Source'!C5</x:f>
        <x:v>0.37709032166943257</x:v>
      </x:c>
      <x:c r="L31" s="14" t="n">
        <x:f>'Assumptions'!E31</x:f>
        <x:v>0.1</x:v>
      </x:c>
      <x:c r="M31" s="14" t="n">
        <x:v>0.110419</x:v>
      </x:c>
      <x:c r="N31" s="14" t="n">
        <x:v>0.284215</x:v>
      </x:c>
      <x:c r="O31" s="1" t="str">
        <x:f>IF(AND(ROUND(F31,6)=M31,ROUND(G31,6)=N31),"PASS","CHECK")</x:f>
        <x:v>PASS</x:v>
      </x:c>
      <x:c r="P31" s="1"/>
    </x:row>
    <x:row r="32">
      <x:c r="A32" s="1" t="str">
        <x:v>Bank of America</x:v>
      </x:c>
      <x:c r="B32" s="1" t="str">
        <x:v>Severely Adverse</x:v>
      </x:c>
      <x:c r="C32" s="1" t="n">
        <x:v>7</x:v>
      </x:c>
      <x:c r="D32" s="14" t="n">
        <x:f>D31+'Assumptions'!C32</x:f>
        <x:v>-0.014999999999999996</x:v>
      </x:c>
      <x:c r="E32" s="14" t="n">
        <x:f>'Assumptions'!D32</x:f>
        <x:v>0.15</x:v>
      </x:c>
      <x:c r="F32" s="14" t="n">
        <x:f>'Source'!K5+D32</x:f>
        <x:v>0.1114187853824513</x:v>
      </x:c>
      <x:c r="G32" s="14" t="n">
        <x:f>('Source'!F5-'Source'!G5-I32)/'Source'!E5</x:f>
        <x:v>0.2842146656184244</x:v>
      </x:c>
      <x:c r="H32" s="11" t="n">
        <x:f>'Source'!H5-I32</x:f>
        <x:v>1721355400</x:v>
      </x:c>
      <x:c r="I32" s="11" t="n">
        <x:f>'Source'!H5*E32</x:f>
        <x:v>303768600</x:v>
      </x:c>
      <x:c r="J32" s="11" t="n">
        <x:f>'Source'!I5*L32</x:f>
        <x:v>85436600</x:v>
      </x:c>
      <x:c r="K32" s="14" t="n">
        <x:f>J32/'Source'!C5</x:f>
        <x:v>0.37709032166943257</x:v>
      </x:c>
      <x:c r="L32" s="14" t="n">
        <x:f>'Assumptions'!E32</x:f>
        <x:v>0.1</x:v>
      </x:c>
      <x:c r="M32" s="14" t="n">
        <x:v>0.111419</x:v>
      </x:c>
      <x:c r="N32" s="14" t="n">
        <x:v>0.284215</x:v>
      </x:c>
      <x:c r="O32" s="1" t="str">
        <x:f>IF(AND(ROUND(F32,6)=M32,ROUND(G32,6)=N32),"PASS","CHECK")</x:f>
        <x:v>PASS</x:v>
      </x:c>
      <x:c r="P32" s="1"/>
    </x:row>
    <x:row r="33">
      <x:c r="A33" s="1" t="str">
        <x:v>Bank of America</x:v>
      </x:c>
      <x:c r="B33" s="1" t="str">
        <x:v>Severely Adverse</x:v>
      </x:c>
      <x:c r="C33" s="1" t="n">
        <x:v>8</x:v>
      </x:c>
      <x:c r="D33" s="14" t="n">
        <x:f>D32+'Assumptions'!C33</x:f>
        <x:v>-0.013999999999999995</x:v>
      </x:c>
      <x:c r="E33" s="14" t="n">
        <x:f>'Assumptions'!D33</x:f>
        <x:v>0.15</x:v>
      </x:c>
      <x:c r="F33" s="14" t="n">
        <x:f>'Source'!K5+D33</x:f>
        <x:v>0.1124187853824513</x:v>
      </x:c>
      <x:c r="G33" s="14" t="n">
        <x:f>('Source'!F5-'Source'!G5-I33)/'Source'!E5</x:f>
        <x:v>0.2842146656184244</x:v>
      </x:c>
      <x:c r="H33" s="11" t="n">
        <x:f>'Source'!H5-I33</x:f>
        <x:v>1721355400</x:v>
      </x:c>
      <x:c r="I33" s="11" t="n">
        <x:f>'Source'!H5*E33</x:f>
        <x:v>303768600</x:v>
      </x:c>
      <x:c r="J33" s="11" t="n">
        <x:f>'Source'!I5*L33</x:f>
        <x:v>85436600</x:v>
      </x:c>
      <x:c r="K33" s="14" t="n">
        <x:f>J33/'Source'!C5</x:f>
        <x:v>0.37709032166943257</x:v>
      </x:c>
      <x:c r="L33" s="14" t="n">
        <x:f>'Assumptions'!E33</x:f>
        <x:v>0.1</x:v>
      </x:c>
      <x:c r="M33" s="14" t="n">
        <x:v>0.112419</x:v>
      </x:c>
      <x:c r="N33" s="14" t="n">
        <x:v>0.284215</x:v>
      </x:c>
      <x:c r="O33" s="1" t="str">
        <x:f>IF(AND(ROUND(F33,6)=M33,ROUND(G33,6)=N33),"PASS","CHECK")</x:f>
        <x:v>PASS</x:v>
      </x:c>
      <x:c r="P33" s="1"/>
    </x:row>
    <x:row r="34">
      <x:c r="A34" s="1" t="str">
        <x:v>Bank of America</x:v>
      </x:c>
      <x:c r="B34" s="1" t="str">
        <x:v>Severely Adverse</x:v>
      </x:c>
      <x:c r="C34" s="1" t="n">
        <x:v>9</x:v>
      </x:c>
      <x:c r="D34" s="14" t="n">
        <x:f>D33+'Assumptions'!C34</x:f>
        <x:v>-0.012999999999999994</x:v>
      </x:c>
      <x:c r="E34" s="14" t="n">
        <x:f>'Assumptions'!D34</x:f>
        <x:v>0.15</x:v>
      </x:c>
      <x:c r="F34" s="14" t="n">
        <x:f>'Source'!K5+D34</x:f>
        <x:v>0.1134187853824513</x:v>
      </x:c>
      <x:c r="G34" s="14" t="n">
        <x:f>('Source'!F5-'Source'!G5-I34)/'Source'!E5</x:f>
        <x:v>0.2842146656184244</x:v>
      </x:c>
      <x:c r="H34" s="11" t="n">
        <x:f>'Source'!H5-I34</x:f>
        <x:v>1721355400</x:v>
      </x:c>
      <x:c r="I34" s="11" t="n">
        <x:f>'Source'!H5*E34</x:f>
        <x:v>303768600</x:v>
      </x:c>
      <x:c r="J34" s="11" t="n">
        <x:f>'Source'!I5*L34</x:f>
        <x:v>85436600</x:v>
      </x:c>
      <x:c r="K34" s="14" t="n">
        <x:f>J34/'Source'!C5</x:f>
        <x:v>0.37709032166943257</x:v>
      </x:c>
      <x:c r="L34" s="14" t="n">
        <x:f>'Assumptions'!E34</x:f>
        <x:v>0.1</x:v>
      </x:c>
      <x:c r="M34" s="14" t="n">
        <x:v>0.113419</x:v>
      </x:c>
      <x:c r="N34" s="14" t="n">
        <x:v>0.284215</x:v>
      </x:c>
      <x:c r="O34" s="1" t="str">
        <x:f>IF(AND(ROUND(F34,6)=M34,ROUND(G34,6)=N34),"PASS","CHECK")</x:f>
        <x:v>PASS</x:v>
      </x:c>
      <x:c r="P34" s="1"/>
    </x:row>
    <x:row r="35">
      <x:c r="A35" s="1" t="str">
        <x:v>Citigroup</x:v>
      </x:c>
      <x:c r="B35" s="1" t="str">
        <x:v>Baseline</x:v>
      </x:c>
      <x:c r="C35" s="1" t="n">
        <x:v>0</x:v>
      </x:c>
      <x:c r="D35" s="14" t="n">
        <x:f>'Assumptions'!C5</x:f>
        <x:v>0</x:v>
      </x:c>
      <x:c r="E35" s="14" t="n">
        <x:f>'Assumptions'!D5</x:f>
        <x:v>0</x:v>
      </x:c>
      <x:c r="F35" s="14" t="n">
        <x:f>'Source'!K6+D35</x:f>
        <x:v>0.1468308679073187</x:v>
      </x:c>
      <x:c r="G35" s="14" t="n">
        <x:f>('Source'!F6-'Source'!G6-I35)/'Source'!E6</x:f>
        <x:v>0.3949204291773732</x:v>
      </x:c>
      <x:c r="H35" s="11" t="n">
        <x:f>'Source'!H6-I35</x:f>
        <x:v>1505568000</x:v>
      </x:c>
      <x:c r="I35" s="11" t="n">
        <x:f>'Source'!H6*E35</x:f>
        <x:v>0</x:v>
      </x:c>
      <x:c r="J35" s="11" t="n">
        <x:f>'Source'!I6*L35</x:f>
        <x:v>0</x:v>
      </x:c>
      <x:c r="K35" s="14" t="n">
        <x:f>J35/'Source'!C6</x:f>
        <x:v>0</x:v>
      </x:c>
      <x:c r="L35" s="14" t="n">
        <x:f>'Assumptions'!E5</x:f>
        <x:v>0</x:v>
      </x:c>
      <x:c r="M35" s="14" t="n">
        <x:v>0.146831</x:v>
      </x:c>
      <x:c r="N35" s="14" t="n">
        <x:v>0.39492</x:v>
      </x:c>
      <x:c r="O35" s="1" t="str">
        <x:f>IF(AND(ROUND(F35,6)=M35,ROUND(G35,6)=N35),"PASS","CHECK")</x:f>
        <x:v>PASS</x:v>
      </x:c>
      <x:c r="P35" s="1"/>
    </x:row>
    <x:row r="36">
      <x:c r="A36" s="1" t="str">
        <x:v>Citigroup</x:v>
      </x:c>
      <x:c r="B36" s="1" t="str">
        <x:v>Baseline</x:v>
      </x:c>
      <x:c r="C36" s="1" t="n">
        <x:v>1</x:v>
      </x:c>
      <x:c r="D36" s="14" t="n">
        <x:f>D35+'Assumptions'!C6</x:f>
        <x:v>0.0003333333333333333</x:v>
      </x:c>
      <x:c r="E36" s="14" t="n">
        <x:f>'Assumptions'!D6</x:f>
        <x:v>0</x:v>
      </x:c>
      <x:c r="F36" s="14" t="n">
        <x:f>'Source'!K6+D36</x:f>
        <x:v>0.14716420124065202</x:v>
      </x:c>
      <x:c r="G36" s="14" t="n">
        <x:f>('Source'!F6-'Source'!G6-I36)/'Source'!E6</x:f>
        <x:v>0.3949204291773732</x:v>
      </x:c>
      <x:c r="H36" s="11" t="n">
        <x:f>'Source'!H6-I36</x:f>
        <x:v>1505568000</x:v>
      </x:c>
      <x:c r="I36" s="11" t="n">
        <x:f>'Source'!H6*E36</x:f>
        <x:v>0</x:v>
      </x:c>
      <x:c r="J36" s="11" t="n">
        <x:f>'Source'!I6*L36</x:f>
        <x:v>0</x:v>
      </x:c>
      <x:c r="K36" s="14" t="n">
        <x:f>J36/'Source'!C6</x:f>
        <x:v>0</x:v>
      </x:c>
      <x:c r="L36" s="14" t="n">
        <x:f>'Assumptions'!E6</x:f>
        <x:v>0</x:v>
      </x:c>
      <x:c r="M36" s="14" t="n">
        <x:v>0.147164</x:v>
      </x:c>
      <x:c r="N36" s="14" t="n">
        <x:v>0.39492</x:v>
      </x:c>
      <x:c r="O36" s="1" t="str">
        <x:f>IF(AND(ROUND(F36,6)=M36,ROUND(G36,6)=N36),"PASS","CHECK")</x:f>
        <x:v>PASS</x:v>
      </x:c>
      <x:c r="P36" s="1"/>
    </x:row>
    <x:row r="37">
      <x:c r="A37" s="1" t="str">
        <x:v>Citigroup</x:v>
      </x:c>
      <x:c r="B37" s="1" t="str">
        <x:v>Baseline</x:v>
      </x:c>
      <x:c r="C37" s="1" t="n">
        <x:v>2</x:v>
      </x:c>
      <x:c r="D37" s="14" t="n">
        <x:f>D36+'Assumptions'!C7</x:f>
        <x:v>0.0006666666666666666</x:v>
      </x:c>
      <x:c r="E37" s="14" t="n">
        <x:f>'Assumptions'!D7</x:f>
        <x:v>0</x:v>
      </x:c>
      <x:c r="F37" s="14" t="n">
        <x:f>'Source'!K6+D37</x:f>
        <x:v>0.14749753457398537</x:v>
      </x:c>
      <x:c r="G37" s="14" t="n">
        <x:f>('Source'!F6-'Source'!G6-I37)/'Source'!E6</x:f>
        <x:v>0.3949204291773732</x:v>
      </x:c>
      <x:c r="H37" s="11" t="n">
        <x:f>'Source'!H6-I37</x:f>
        <x:v>1505568000</x:v>
      </x:c>
      <x:c r="I37" s="11" t="n">
        <x:f>'Source'!H6*E37</x:f>
        <x:v>0</x:v>
      </x:c>
      <x:c r="J37" s="11" t="n">
        <x:f>'Source'!I6*L37</x:f>
        <x:v>0</x:v>
      </x:c>
      <x:c r="K37" s="14" t="n">
        <x:f>J37/'Source'!C6</x:f>
        <x:v>0</x:v>
      </x:c>
      <x:c r="L37" s="14" t="n">
        <x:f>'Assumptions'!E7</x:f>
        <x:v>0</x:v>
      </x:c>
      <x:c r="M37" s="14" t="n">
        <x:v>0.147498</x:v>
      </x:c>
      <x:c r="N37" s="14" t="n">
        <x:v>0.39492</x:v>
      </x:c>
      <x:c r="O37" s="1" t="str">
        <x:f>IF(AND(ROUND(F37,6)=M37,ROUND(G37,6)=N37),"PASS","CHECK")</x:f>
        <x:v>PASS</x:v>
      </x:c>
      <x:c r="P37" s="1"/>
    </x:row>
    <x:row r="38">
      <x:c r="A38" s="1" t="str">
        <x:v>Citigroup</x:v>
      </x:c>
      <x:c r="B38" s="1" t="str">
        <x:v>Baseline</x:v>
      </x:c>
      <x:c r="C38" s="1" t="n">
        <x:v>3</x:v>
      </x:c>
      <x:c r="D38" s="14" t="n">
        <x:f>D37+'Assumptions'!C8</x:f>
        <x:v>0.001</x:v>
      </x:c>
      <x:c r="E38" s="14" t="n">
        <x:f>'Assumptions'!D8</x:f>
        <x:v>0</x:v>
      </x:c>
      <x:c r="F38" s="14" t="n">
        <x:f>'Source'!K6+D38</x:f>
        <x:v>0.1478308679073187</x:v>
      </x:c>
      <x:c r="G38" s="14" t="n">
        <x:f>('Source'!F6-'Source'!G6-I38)/'Source'!E6</x:f>
        <x:v>0.3949204291773732</x:v>
      </x:c>
      <x:c r="H38" s="11" t="n">
        <x:f>'Source'!H6-I38</x:f>
        <x:v>1505568000</x:v>
      </x:c>
      <x:c r="I38" s="11" t="n">
        <x:f>'Source'!H6*E38</x:f>
        <x:v>0</x:v>
      </x:c>
      <x:c r="J38" s="11" t="n">
        <x:f>'Source'!I6*L38</x:f>
        <x:v>0</x:v>
      </x:c>
      <x:c r="K38" s="14" t="n">
        <x:f>J38/'Source'!C6</x:f>
        <x:v>0</x:v>
      </x:c>
      <x:c r="L38" s="14" t="n">
        <x:f>'Assumptions'!E8</x:f>
        <x:v>0</x:v>
      </x:c>
      <x:c r="M38" s="14" t="n">
        <x:v>0.147831</x:v>
      </x:c>
      <x:c r="N38" s="14" t="n">
        <x:v>0.39492</x:v>
      </x:c>
      <x:c r="O38" s="1" t="str">
        <x:f>IF(AND(ROUND(F38,6)=M38,ROUND(G38,6)=N38),"PASS","CHECK")</x:f>
        <x:v>PASS</x:v>
      </x:c>
      <x:c r="P38" s="1"/>
    </x:row>
    <x:row r="39">
      <x:c r="A39" s="1" t="str">
        <x:v>Citigroup</x:v>
      </x:c>
      <x:c r="B39" s="1" t="str">
        <x:v>Baseline</x:v>
      </x:c>
      <x:c r="C39" s="1" t="n">
        <x:v>4</x:v>
      </x:c>
      <x:c r="D39" s="14" t="n">
        <x:f>D38+'Assumptions'!C9</x:f>
        <x:v>0.0013333333333333333</x:v>
      </x:c>
      <x:c r="E39" s="14" t="n">
        <x:f>'Assumptions'!D9</x:f>
        <x:v>0</x:v>
      </x:c>
      <x:c r="F39" s="14" t="n">
        <x:f>'Source'!K6+D39</x:f>
        <x:v>0.14816420124065202</x:v>
      </x:c>
      <x:c r="G39" s="14" t="n">
        <x:f>('Source'!F6-'Source'!G6-I39)/'Source'!E6</x:f>
        <x:v>0.3949204291773732</x:v>
      </x:c>
      <x:c r="H39" s="11" t="n">
        <x:f>'Source'!H6-I39</x:f>
        <x:v>1505568000</x:v>
      </x:c>
      <x:c r="I39" s="11" t="n">
        <x:f>'Source'!H6*E39</x:f>
        <x:v>0</x:v>
      </x:c>
      <x:c r="J39" s="11" t="n">
        <x:f>'Source'!I6*L39</x:f>
        <x:v>0</x:v>
      </x:c>
      <x:c r="K39" s="14" t="n">
        <x:f>J39/'Source'!C6</x:f>
        <x:v>0</x:v>
      </x:c>
      <x:c r="L39" s="14" t="n">
        <x:f>'Assumptions'!E9</x:f>
        <x:v>0</x:v>
      </x:c>
      <x:c r="M39" s="14" t="n">
        <x:v>0.148164</x:v>
      </x:c>
      <x:c r="N39" s="14" t="n">
        <x:v>0.39492</x:v>
      </x:c>
      <x:c r="O39" s="1" t="str">
        <x:f>IF(AND(ROUND(F39,6)=M39,ROUND(G39,6)=N39),"PASS","CHECK")</x:f>
        <x:v>PASS</x:v>
      </x:c>
      <x:c r="P39" s="1"/>
    </x:row>
    <x:row r="40">
      <x:c r="A40" s="1" t="str">
        <x:v>Citigroup</x:v>
      </x:c>
      <x:c r="B40" s="1" t="str">
        <x:v>Baseline</x:v>
      </x:c>
      <x:c r="C40" s="1" t="n">
        <x:v>5</x:v>
      </x:c>
      <x:c r="D40" s="14" t="n">
        <x:f>D39+'Assumptions'!C10</x:f>
        <x:v>0.0016666666666666666</x:v>
      </x:c>
      <x:c r="E40" s="14" t="n">
        <x:f>'Assumptions'!D10</x:f>
        <x:v>0</x:v>
      </x:c>
      <x:c r="F40" s="14" t="n">
        <x:f>'Source'!K6+D40</x:f>
        <x:v>0.14849753457398537</x:v>
      </x:c>
      <x:c r="G40" s="14" t="n">
        <x:f>('Source'!F6-'Source'!G6-I40)/'Source'!E6</x:f>
        <x:v>0.3949204291773732</x:v>
      </x:c>
      <x:c r="H40" s="11" t="n">
        <x:f>'Source'!H6-I40</x:f>
        <x:v>1505568000</x:v>
      </x:c>
      <x:c r="I40" s="11" t="n">
        <x:f>'Source'!H6*E40</x:f>
        <x:v>0</x:v>
      </x:c>
      <x:c r="J40" s="11" t="n">
        <x:f>'Source'!I6*L40</x:f>
        <x:v>0</x:v>
      </x:c>
      <x:c r="K40" s="14" t="n">
        <x:f>J40/'Source'!C6</x:f>
        <x:v>0</x:v>
      </x:c>
      <x:c r="L40" s="14" t="n">
        <x:f>'Assumptions'!E10</x:f>
        <x:v>0</x:v>
      </x:c>
      <x:c r="M40" s="14" t="n">
        <x:v>0.148498</x:v>
      </x:c>
      <x:c r="N40" s="14" t="n">
        <x:v>0.39492</x:v>
      </x:c>
      <x:c r="O40" s="1" t="str">
        <x:f>IF(AND(ROUND(F40,6)=M40,ROUND(G40,6)=N40),"PASS","CHECK")</x:f>
        <x:v>PASS</x:v>
      </x:c>
      <x:c r="P40" s="1"/>
    </x:row>
    <x:row r="41">
      <x:c r="A41" s="1" t="str">
        <x:v>Citigroup</x:v>
      </x:c>
      <x:c r="B41" s="1" t="str">
        <x:v>Baseline</x:v>
      </x:c>
      <x:c r="C41" s="1" t="n">
        <x:v>6</x:v>
      </x:c>
      <x:c r="D41" s="14" t="n">
        <x:f>D40+'Assumptions'!C11</x:f>
        <x:v>0.002</x:v>
      </x:c>
      <x:c r="E41" s="14" t="n">
        <x:f>'Assumptions'!D11</x:f>
        <x:v>0</x:v>
      </x:c>
      <x:c r="F41" s="14" t="n">
        <x:f>'Source'!K6+D41</x:f>
        <x:v>0.1488308679073187</x:v>
      </x:c>
      <x:c r="G41" s="14" t="n">
        <x:f>('Source'!F6-'Source'!G6-I41)/'Source'!E6</x:f>
        <x:v>0.3949204291773732</x:v>
      </x:c>
      <x:c r="H41" s="11" t="n">
        <x:f>'Source'!H6-I41</x:f>
        <x:v>1505568000</x:v>
      </x:c>
      <x:c r="I41" s="11" t="n">
        <x:f>'Source'!H6*E41</x:f>
        <x:v>0</x:v>
      </x:c>
      <x:c r="J41" s="11" t="n">
        <x:f>'Source'!I6*L41</x:f>
        <x:v>0</x:v>
      </x:c>
      <x:c r="K41" s="14" t="n">
        <x:f>J41/'Source'!C6</x:f>
        <x:v>0</x:v>
      </x:c>
      <x:c r="L41" s="14" t="n">
        <x:f>'Assumptions'!E11</x:f>
        <x:v>0</x:v>
      </x:c>
      <x:c r="M41" s="14" t="n">
        <x:v>0.148831</x:v>
      </x:c>
      <x:c r="N41" s="14" t="n">
        <x:v>0.39492</x:v>
      </x:c>
      <x:c r="O41" s="1" t="str">
        <x:f>IF(AND(ROUND(F41,6)=M41,ROUND(G41,6)=N41),"PASS","CHECK")</x:f>
        <x:v>PASS</x:v>
      </x:c>
      <x:c r="P41" s="1"/>
    </x:row>
    <x:row r="42">
      <x:c r="A42" s="1" t="str">
        <x:v>Citigroup</x:v>
      </x:c>
      <x:c r="B42" s="1" t="str">
        <x:v>Baseline</x:v>
      </x:c>
      <x:c r="C42" s="1" t="n">
        <x:v>7</x:v>
      </x:c>
      <x:c r="D42" s="14" t="n">
        <x:f>D41+'Assumptions'!C12</x:f>
        <x:v>0.0023333333333333335</x:v>
      </x:c>
      <x:c r="E42" s="14" t="n">
        <x:f>'Assumptions'!D12</x:f>
        <x:v>0</x:v>
      </x:c>
      <x:c r="F42" s="14" t="n">
        <x:f>'Source'!K6+D42</x:f>
        <x:v>0.14916420124065202</x:v>
      </x:c>
      <x:c r="G42" s="14" t="n">
        <x:f>('Source'!F6-'Source'!G6-I42)/'Source'!E6</x:f>
        <x:v>0.3949204291773732</x:v>
      </x:c>
      <x:c r="H42" s="11" t="n">
        <x:f>'Source'!H6-I42</x:f>
        <x:v>1505568000</x:v>
      </x:c>
      <x:c r="I42" s="11" t="n">
        <x:f>'Source'!H6*E42</x:f>
        <x:v>0</x:v>
      </x:c>
      <x:c r="J42" s="11" t="n">
        <x:f>'Source'!I6*L42</x:f>
        <x:v>0</x:v>
      </x:c>
      <x:c r="K42" s="14" t="n">
        <x:f>J42/'Source'!C6</x:f>
        <x:v>0</x:v>
      </x:c>
      <x:c r="L42" s="14" t="n">
        <x:f>'Assumptions'!E12</x:f>
        <x:v>0</x:v>
      </x:c>
      <x:c r="M42" s="14" t="n">
        <x:v>0.149164</x:v>
      </x:c>
      <x:c r="N42" s="14" t="n">
        <x:v>0.39492</x:v>
      </x:c>
      <x:c r="O42" s="1" t="str">
        <x:f>IF(AND(ROUND(F42,6)=M42,ROUND(G42,6)=N42),"PASS","CHECK")</x:f>
        <x:v>PASS</x:v>
      </x:c>
      <x:c r="P42" s="1"/>
    </x:row>
    <x:row r="43">
      <x:c r="A43" s="1" t="str">
        <x:v>Citigroup</x:v>
      </x:c>
      <x:c r="B43" s="1" t="str">
        <x:v>Baseline</x:v>
      </x:c>
      <x:c r="C43" s="1" t="n">
        <x:v>8</x:v>
      </x:c>
      <x:c r="D43" s="14" t="n">
        <x:f>D42+'Assumptions'!C13</x:f>
        <x:v>0.002666666666666667</x:v>
      </x:c>
      <x:c r="E43" s="14" t="n">
        <x:f>'Assumptions'!D13</x:f>
        <x:v>0</x:v>
      </x:c>
      <x:c r="F43" s="14" t="n">
        <x:f>'Source'!K6+D43</x:f>
        <x:v>0.14949753457398537</x:v>
      </x:c>
      <x:c r="G43" s="14" t="n">
        <x:f>('Source'!F6-'Source'!G6-I43)/'Source'!E6</x:f>
        <x:v>0.3949204291773732</x:v>
      </x:c>
      <x:c r="H43" s="11" t="n">
        <x:f>'Source'!H6-I43</x:f>
        <x:v>1505568000</x:v>
      </x:c>
      <x:c r="I43" s="11" t="n">
        <x:f>'Source'!H6*E43</x:f>
        <x:v>0</x:v>
      </x:c>
      <x:c r="J43" s="11" t="n">
        <x:f>'Source'!I6*L43</x:f>
        <x:v>0</x:v>
      </x:c>
      <x:c r="K43" s="14" t="n">
        <x:f>J43/'Source'!C6</x:f>
        <x:v>0</x:v>
      </x:c>
      <x:c r="L43" s="14" t="n">
        <x:f>'Assumptions'!E13</x:f>
        <x:v>0</x:v>
      </x:c>
      <x:c r="M43" s="14" t="n">
        <x:v>0.149498</x:v>
      </x:c>
      <x:c r="N43" s="14" t="n">
        <x:v>0.39492</x:v>
      </x:c>
      <x:c r="O43" s="1" t="str">
        <x:f>IF(AND(ROUND(F43,6)=M43,ROUND(G43,6)=N43),"PASS","CHECK")</x:f>
        <x:v>PASS</x:v>
      </x:c>
      <x:c r="P43" s="1"/>
    </x:row>
    <x:row r="44">
      <x:c r="A44" s="1" t="str">
        <x:v>Citigroup</x:v>
      </x:c>
      <x:c r="B44" s="1" t="str">
        <x:v>Baseline</x:v>
      </x:c>
      <x:c r="C44" s="1" t="n">
        <x:v>9</x:v>
      </x:c>
      <x:c r="D44" s="14" t="n">
        <x:f>D43+'Assumptions'!C14</x:f>
        <x:v>0.0030000000000000005</x:v>
      </x:c>
      <x:c r="E44" s="14" t="n">
        <x:f>'Assumptions'!D14</x:f>
        <x:v>0</x:v>
      </x:c>
      <x:c r="F44" s="14" t="n">
        <x:f>'Source'!K6+D44</x:f>
        <x:v>0.1498308679073187</x:v>
      </x:c>
      <x:c r="G44" s="14" t="n">
        <x:f>('Source'!F6-'Source'!G6-I44)/'Source'!E6</x:f>
        <x:v>0.3949204291773732</x:v>
      </x:c>
      <x:c r="H44" s="11" t="n">
        <x:f>'Source'!H6-I44</x:f>
        <x:v>1505568000</x:v>
      </x:c>
      <x:c r="I44" s="11" t="n">
        <x:f>'Source'!H6*E44</x:f>
        <x:v>0</x:v>
      </x:c>
      <x:c r="J44" s="11" t="n">
        <x:f>'Source'!I6*L44</x:f>
        <x:v>0</x:v>
      </x:c>
      <x:c r="K44" s="14" t="n">
        <x:f>J44/'Source'!C6</x:f>
        <x:v>0</x:v>
      </x:c>
      <x:c r="L44" s="14" t="n">
        <x:f>'Assumptions'!E14</x:f>
        <x:v>0</x:v>
      </x:c>
      <x:c r="M44" s="14" t="n">
        <x:v>0.149831</x:v>
      </x:c>
      <x:c r="N44" s="14" t="n">
        <x:v>0.39492</x:v>
      </x:c>
      <x:c r="O44" s="1" t="str">
        <x:f>IF(AND(ROUND(F44,6)=M44,ROUND(G44,6)=N44),"PASS","CHECK")</x:f>
        <x:v>PASS</x:v>
      </x:c>
      <x:c r="P44" s="1"/>
    </x:row>
    <x:row r="45">
      <x:c r="A45" s="1" t="str">
        <x:v>Citigroup</x:v>
      </x:c>
      <x:c r="B45" s="1" t="str">
        <x:v>Adverse</x:v>
      </x:c>
      <x:c r="C45" s="1" t="n">
        <x:v>0</x:v>
      </x:c>
      <x:c r="D45" s="14" t="n">
        <x:f>'Assumptions'!C15</x:f>
        <x:v>0</x:v>
      </x:c>
      <x:c r="E45" s="14" t="n">
        <x:f>'Assumptions'!D15</x:f>
        <x:v>0</x:v>
      </x:c>
      <x:c r="F45" s="14" t="n">
        <x:f>'Source'!K6+D45</x:f>
        <x:v>0.1468308679073187</x:v>
      </x:c>
      <x:c r="G45" s="14" t="n">
        <x:f>('Source'!F6-'Source'!G6-I45)/'Source'!E6</x:f>
        <x:v>0.3949204291773732</x:v>
      </x:c>
      <x:c r="H45" s="11" t="n">
        <x:f>'Source'!H6-I45</x:f>
        <x:v>1505568000</x:v>
      </x:c>
      <x:c r="I45" s="11" t="n">
        <x:f>'Source'!H6*E45</x:f>
        <x:v>0</x:v>
      </x:c>
      <x:c r="J45" s="11" t="n">
        <x:f>'Source'!I6*L45</x:f>
        <x:v>0</x:v>
      </x:c>
      <x:c r="K45" s="14" t="n">
        <x:f>J45/'Source'!C6</x:f>
        <x:v>0</x:v>
      </x:c>
      <x:c r="L45" s="14" t="n">
        <x:f>'Assumptions'!E15</x:f>
        <x:v>0</x:v>
      </x:c>
      <x:c r="M45" s="14" t="n">
        <x:v>0.146831</x:v>
      </x:c>
      <x:c r="N45" s="14" t="n">
        <x:v>0.39492</x:v>
      </x:c>
      <x:c r="O45" s="1" t="str">
        <x:f>IF(AND(ROUND(F45,6)=M45,ROUND(G45,6)=N45),"PASS","CHECK")</x:f>
        <x:v>PASS</x:v>
      </x:c>
      <x:c r="P45" s="1"/>
    </x:row>
    <x:row r="46">
      <x:c r="A46" s="1" t="str">
        <x:v>Citigroup</x:v>
      </x:c>
      <x:c r="B46" s="1" t="str">
        <x:v>Adverse</x:v>
      </x:c>
      <x:c r="C46" s="1" t="n">
        <x:v>1</x:v>
      </x:c>
      <x:c r="D46" s="14" t="n">
        <x:f>D45+'Assumptions'!C16</x:f>
        <x:v>-0.002</x:v>
      </x:c>
      <x:c r="E46" s="14" t="n">
        <x:f>'Assumptions'!D16</x:f>
        <x:v>0.0125</x:v>
      </x:c>
      <x:c r="F46" s="14" t="n">
        <x:f>'Source'!K6+D46</x:f>
        <x:v>0.1448308679073187</x:v>
      </x:c>
      <x:c r="G46" s="14" t="n">
        <x:f>('Source'!F6-'Source'!G6-I46)/'Source'!E6</x:f>
        <x:v>0.38841892675255835</x:v>
      </x:c>
      <x:c r="H46" s="11" t="n">
        <x:f>'Source'!H6-I46</x:f>
        <x:v>1486748400</x:v>
      </x:c>
      <x:c r="I46" s="11" t="n">
        <x:f>'Source'!H6*E46</x:f>
        <x:v>18819600</x:v>
      </x:c>
      <x:c r="J46" s="11" t="n">
        <x:f>'Source'!I6*L46</x:f>
        <x:v>3383790</x:v>
      </x:c>
      <x:c r="K46" s="14" t="n">
        <x:f>J46/'Source'!C6</x:f>
        <x:v>0.018701068304032807</x:v>
      </x:c>
      <x:c r="L46" s="14" t="n">
        <x:f>'Assumptions'!E16</x:f>
        <x:v>0.0075</x:v>
      </x:c>
      <x:c r="M46" s="14" t="n">
        <x:v>0.144831</x:v>
      </x:c>
      <x:c r="N46" s="14" t="n">
        <x:v>0.388419</x:v>
      </x:c>
      <x:c r="O46" s="1" t="str">
        <x:f>IF(AND(ROUND(F46,6)=M46,ROUND(G46,6)=N46),"PASS","CHECK")</x:f>
        <x:v>PASS</x:v>
      </x:c>
      <x:c r="P46" s="1"/>
    </x:row>
    <x:row r="47">
      <x:c r="A47" s="1" t="str">
        <x:v>Citigroup</x:v>
      </x:c>
      <x:c r="B47" s="1" t="str">
        <x:v>Adverse</x:v>
      </x:c>
      <x:c r="C47" s="1" t="n">
        <x:v>2</x:v>
      </x:c>
      <x:c r="D47" s="14" t="n">
        <x:f>D46+'Assumptions'!C17</x:f>
        <x:v>-0.004</x:v>
      </x:c>
      <x:c r="E47" s="14" t="n">
        <x:f>'Assumptions'!D17</x:f>
        <x:v>0.025</x:v>
      </x:c>
      <x:c r="F47" s="14" t="n">
        <x:f>'Source'!K6+D47</x:f>
        <x:v>0.1428308679073187</x:v>
      </x:c>
      <x:c r="G47" s="14" t="n">
        <x:f>('Source'!F6-'Source'!G6-I47)/'Source'!E6</x:f>
        <x:v>0.3819174243277435</x:v>
      </x:c>
      <x:c r="H47" s="11" t="n">
        <x:f>'Source'!H6-I47</x:f>
        <x:v>1467928800</x:v>
      </x:c>
      <x:c r="I47" s="11" t="n">
        <x:f>'Source'!H6*E47</x:f>
        <x:v>37639200</x:v>
      </x:c>
      <x:c r="J47" s="11" t="n">
        <x:f>'Source'!I6*L47</x:f>
        <x:v>6767580</x:v>
      </x:c>
      <x:c r="K47" s="14" t="n">
        <x:f>J47/'Source'!C6</x:f>
        <x:v>0.037402136608065614</x:v>
      </x:c>
      <x:c r="L47" s="14" t="n">
        <x:f>'Assumptions'!E17</x:f>
        <x:v>0.015</x:v>
      </x:c>
      <x:c r="M47" s="14" t="n">
        <x:v>0.142831</x:v>
      </x:c>
      <x:c r="N47" s="14" t="n">
        <x:v>0.381917</x:v>
      </x:c>
      <x:c r="O47" s="1" t="str">
        <x:f>IF(AND(ROUND(F47,6)=M47,ROUND(G47,6)=N47),"PASS","CHECK")</x:f>
        <x:v>PASS</x:v>
      </x:c>
      <x:c r="P47" s="1"/>
    </x:row>
    <x:row r="48">
      <x:c r="A48" s="1" t="str">
        <x:v>Citigroup</x:v>
      </x:c>
      <x:c r="B48" s="1" t="str">
        <x:v>Adverse</x:v>
      </x:c>
      <x:c r="C48" s="1" t="n">
        <x:v>3</x:v>
      </x:c>
      <x:c r="D48" s="14" t="n">
        <x:f>D47+'Assumptions'!C18</x:f>
        <x:v>-0.006</x:v>
      </x:c>
      <x:c r="E48" s="14" t="n">
        <x:f>'Assumptions'!D18</x:f>
        <x:v>0.037500000000000006</x:v>
      </x:c>
      <x:c r="F48" s="14" t="n">
        <x:f>'Source'!K6+D48</x:f>
        <x:v>0.1408308679073187</x:v>
      </x:c>
      <x:c r="G48" s="14" t="n">
        <x:f>('Source'!F6-'Source'!G6-I48)/'Source'!E6</x:f>
        <x:v>0.37541592190292866</x:v>
      </x:c>
      <x:c r="H48" s="11" t="n">
        <x:f>'Source'!H6-I48</x:f>
        <x:v>1449109200</x:v>
      </x:c>
      <x:c r="I48" s="11" t="n">
        <x:f>'Source'!H6*E48</x:f>
        <x:v>56458800.00000001</x:v>
      </x:c>
      <x:c r="J48" s="11" t="n">
        <x:f>'Source'!I6*L48</x:f>
        <x:v>10151370</x:v>
      </x:c>
      <x:c r="K48" s="14" t="n">
        <x:f>J48/'Source'!C6</x:f>
        <x:v>0.05610320491209842</x:v>
      </x:c>
      <x:c r="L48" s="14" t="n">
        <x:f>'Assumptions'!E18</x:f>
        <x:v>0.0225</x:v>
      </x:c>
      <x:c r="M48" s="14" t="n">
        <x:v>0.140831</x:v>
      </x:c>
      <x:c r="N48" s="14" t="n">
        <x:v>0.375416</x:v>
      </x:c>
      <x:c r="O48" s="1" t="str">
        <x:f>IF(AND(ROUND(F48,6)=M48,ROUND(G48,6)=N48),"PASS","CHECK")</x:f>
        <x:v>PASS</x:v>
      </x:c>
      <x:c r="P48" s="1"/>
    </x:row>
    <x:row r="49">
      <x:c r="A49" s="1" t="str">
        <x:v>Citigroup</x:v>
      </x:c>
      <x:c r="B49" s="1" t="str">
        <x:v>Adverse</x:v>
      </x:c>
      <x:c r="C49" s="1" t="n">
        <x:v>4</x:v>
      </x:c>
      <x:c r="D49" s="14" t="n">
        <x:f>D48+'Assumptions'!C19</x:f>
        <x:v>-0.008</x:v>
      </x:c>
      <x:c r="E49" s="14" t="n">
        <x:f>'Assumptions'!D19</x:f>
        <x:v>0.05</x:v>
      </x:c>
      <x:c r="F49" s="14" t="n">
        <x:f>'Source'!K6+D49</x:f>
        <x:v>0.1388308679073187</x:v>
      </x:c>
      <x:c r="G49" s="14" t="n">
        <x:f>('Source'!F6-'Source'!G6-I49)/'Source'!E6</x:f>
        <x:v>0.36891441947811376</x:v>
      </x:c>
      <x:c r="H49" s="11" t="n">
        <x:f>'Source'!H6-I49</x:f>
        <x:v>1430289600</x:v>
      </x:c>
      <x:c r="I49" s="11" t="n">
        <x:f>'Source'!H6*E49</x:f>
        <x:v>75278400</x:v>
      </x:c>
      <x:c r="J49" s="11" t="n">
        <x:f>'Source'!I6*L49</x:f>
        <x:v>13535160</x:v>
      </x:c>
      <x:c r="K49" s="14" t="n">
        <x:f>J49/'Source'!C6</x:f>
        <x:v>0.07480427321613123</x:v>
      </x:c>
      <x:c r="L49" s="14" t="n">
        <x:f>'Assumptions'!E19</x:f>
        <x:v>0.03</x:v>
      </x:c>
      <x:c r="M49" s="14" t="n">
        <x:v>0.138831</x:v>
      </x:c>
      <x:c r="N49" s="14" t="n">
        <x:v>0.368914</x:v>
      </x:c>
      <x:c r="O49" s="1" t="str">
        <x:f>IF(AND(ROUND(F49,6)=M49,ROUND(G49,6)=N49),"PASS","CHECK")</x:f>
        <x:v>PASS</x:v>
      </x:c>
      <x:c r="P49" s="1"/>
    </x:row>
    <x:row r="50">
      <x:c r="A50" s="1" t="str">
        <x:v>Citigroup</x:v>
      </x:c>
      <x:c r="B50" s="1" t="str">
        <x:v>Adverse</x:v>
      </x:c>
      <x:c r="C50" s="1" t="n">
        <x:v>5</x:v>
      </x:c>
      <x:c r="D50" s="14" t="n">
        <x:f>D49+'Assumptions'!C20</x:f>
        <x:v>-0.01</x:v>
      </x:c>
      <x:c r="E50" s="14" t="n">
        <x:f>'Assumptions'!D20</x:f>
        <x:v>0.05</x:v>
      </x:c>
      <x:c r="F50" s="14" t="n">
        <x:f>'Source'!K6+D50</x:f>
        <x:v>0.1368308679073187</x:v>
      </x:c>
      <x:c r="G50" s="14" t="n">
        <x:f>('Source'!F6-'Source'!G6-I50)/'Source'!E6</x:f>
        <x:v>0.36891441947811376</x:v>
      </x:c>
      <x:c r="H50" s="11" t="n">
        <x:f>'Source'!H6-I50</x:f>
        <x:v>1430289600</x:v>
      </x:c>
      <x:c r="I50" s="11" t="n">
        <x:f>'Source'!H6*E50</x:f>
        <x:v>75278400</x:v>
      </x:c>
      <x:c r="J50" s="11" t="n">
        <x:f>'Source'!I6*L50</x:f>
        <x:v>13535160</x:v>
      </x:c>
      <x:c r="K50" s="14" t="n">
        <x:f>J50/'Source'!C6</x:f>
        <x:v>0.07480427321613123</x:v>
      </x:c>
      <x:c r="L50" s="14" t="n">
        <x:f>'Assumptions'!E20</x:f>
        <x:v>0.03</x:v>
      </x:c>
      <x:c r="M50" s="14" t="n">
        <x:v>0.136831</x:v>
      </x:c>
      <x:c r="N50" s="14" t="n">
        <x:v>0.368914</x:v>
      </x:c>
      <x:c r="O50" s="1" t="str">
        <x:f>IF(AND(ROUND(F50,6)=M50,ROUND(G50,6)=N50),"PASS","CHECK")</x:f>
        <x:v>PASS</x:v>
      </x:c>
      <x:c r="P50" s="1"/>
    </x:row>
    <x:row r="51">
      <x:c r="A51" s="1" t="str">
        <x:v>Citigroup</x:v>
      </x:c>
      <x:c r="B51" s="1" t="str">
        <x:v>Adverse</x:v>
      </x:c>
      <x:c r="C51" s="1" t="n">
        <x:v>6</x:v>
      </x:c>
      <x:c r="D51" s="14" t="n">
        <x:f>D50+'Assumptions'!C21</x:f>
        <x:v>-0.01</x:v>
      </x:c>
      <x:c r="E51" s="14" t="n">
        <x:f>'Assumptions'!D21</x:f>
        <x:v>0.05</x:v>
      </x:c>
      <x:c r="F51" s="14" t="n">
        <x:f>'Source'!K6+D51</x:f>
        <x:v>0.1368308679073187</x:v>
      </x:c>
      <x:c r="G51" s="14" t="n">
        <x:f>('Source'!F6-'Source'!G6-I51)/'Source'!E6</x:f>
        <x:v>0.36891441947811376</x:v>
      </x:c>
      <x:c r="H51" s="11" t="n">
        <x:f>'Source'!H6-I51</x:f>
        <x:v>1430289600</x:v>
      </x:c>
      <x:c r="I51" s="11" t="n">
        <x:f>'Source'!H6*E51</x:f>
        <x:v>75278400</x:v>
      </x:c>
      <x:c r="J51" s="11" t="n">
        <x:f>'Source'!I6*L51</x:f>
        <x:v>13535160</x:v>
      </x:c>
      <x:c r="K51" s="14" t="n">
        <x:f>J51/'Source'!C6</x:f>
        <x:v>0.07480427321613123</x:v>
      </x:c>
      <x:c r="L51" s="14" t="n">
        <x:f>'Assumptions'!E21</x:f>
        <x:v>0.03</x:v>
      </x:c>
      <x:c r="M51" s="14" t="n">
        <x:v>0.136831</x:v>
      </x:c>
      <x:c r="N51" s="14" t="n">
        <x:v>0.368914</x:v>
      </x:c>
      <x:c r="O51" s="1" t="str">
        <x:f>IF(AND(ROUND(F51,6)=M51,ROUND(G51,6)=N51),"PASS","CHECK")</x:f>
        <x:v>PASS</x:v>
      </x:c>
      <x:c r="P51" s="1"/>
    </x:row>
    <x:row r="52">
      <x:c r="A52" s="1" t="str">
        <x:v>Citigroup</x:v>
      </x:c>
      <x:c r="B52" s="1" t="str">
        <x:v>Adverse</x:v>
      </x:c>
      <x:c r="C52" s="1" t="n">
        <x:v>7</x:v>
      </x:c>
      <x:c r="D52" s="14" t="n">
        <x:f>D51+'Assumptions'!C22</x:f>
        <x:v>-0.01</x:v>
      </x:c>
      <x:c r="E52" s="14" t="n">
        <x:f>'Assumptions'!D22</x:f>
        <x:v>0.05</x:v>
      </x:c>
      <x:c r="F52" s="14" t="n">
        <x:f>'Source'!K6+D52</x:f>
        <x:v>0.1368308679073187</x:v>
      </x:c>
      <x:c r="G52" s="14" t="n">
        <x:f>('Source'!F6-'Source'!G6-I52)/'Source'!E6</x:f>
        <x:v>0.36891441947811376</x:v>
      </x:c>
      <x:c r="H52" s="11" t="n">
        <x:f>'Source'!H6-I52</x:f>
        <x:v>1430289600</x:v>
      </x:c>
      <x:c r="I52" s="11" t="n">
        <x:f>'Source'!H6*E52</x:f>
        <x:v>75278400</x:v>
      </x:c>
      <x:c r="J52" s="11" t="n">
        <x:f>'Source'!I6*L52</x:f>
        <x:v>13535160</x:v>
      </x:c>
      <x:c r="K52" s="14" t="n">
        <x:f>J52/'Source'!C6</x:f>
        <x:v>0.07480427321613123</x:v>
      </x:c>
      <x:c r="L52" s="14" t="n">
        <x:f>'Assumptions'!E22</x:f>
        <x:v>0.03</x:v>
      </x:c>
      <x:c r="M52" s="14" t="n">
        <x:v>0.136831</x:v>
      </x:c>
      <x:c r="N52" s="14" t="n">
        <x:v>0.368914</x:v>
      </x:c>
      <x:c r="O52" s="1" t="str">
        <x:f>IF(AND(ROUND(F52,6)=M52,ROUND(G52,6)=N52),"PASS","CHECK")</x:f>
        <x:v>PASS</x:v>
      </x:c>
      <x:c r="P52" s="1"/>
    </x:row>
    <x:row r="53">
      <x:c r="A53" s="1" t="str">
        <x:v>Citigroup</x:v>
      </x:c>
      <x:c r="B53" s="1" t="str">
        <x:v>Adverse</x:v>
      </x:c>
      <x:c r="C53" s="1" t="n">
        <x:v>8</x:v>
      </x:c>
      <x:c r="D53" s="14" t="n">
        <x:f>D52+'Assumptions'!C23</x:f>
        <x:v>-0.01</x:v>
      </x:c>
      <x:c r="E53" s="14" t="n">
        <x:f>'Assumptions'!D23</x:f>
        <x:v>0.05</x:v>
      </x:c>
      <x:c r="F53" s="14" t="n">
        <x:f>'Source'!K6+D53</x:f>
        <x:v>0.1368308679073187</x:v>
      </x:c>
      <x:c r="G53" s="14" t="n">
        <x:f>('Source'!F6-'Source'!G6-I53)/'Source'!E6</x:f>
        <x:v>0.36891441947811376</x:v>
      </x:c>
      <x:c r="H53" s="11" t="n">
        <x:f>'Source'!H6-I53</x:f>
        <x:v>1430289600</x:v>
      </x:c>
      <x:c r="I53" s="11" t="n">
        <x:f>'Source'!H6*E53</x:f>
        <x:v>75278400</x:v>
      </x:c>
      <x:c r="J53" s="11" t="n">
        <x:f>'Source'!I6*L53</x:f>
        <x:v>13535160</x:v>
      </x:c>
      <x:c r="K53" s="14" t="n">
        <x:f>J53/'Source'!C6</x:f>
        <x:v>0.07480427321613123</x:v>
      </x:c>
      <x:c r="L53" s="14" t="n">
        <x:f>'Assumptions'!E23</x:f>
        <x:v>0.03</x:v>
      </x:c>
      <x:c r="M53" s="14" t="n">
        <x:v>0.136831</x:v>
      </x:c>
      <x:c r="N53" s="14" t="n">
        <x:v>0.368914</x:v>
      </x:c>
      <x:c r="O53" s="1" t="str">
        <x:f>IF(AND(ROUND(F53,6)=M53,ROUND(G53,6)=N53),"PASS","CHECK")</x:f>
        <x:v>PASS</x:v>
      </x:c>
      <x:c r="P53" s="1"/>
    </x:row>
    <x:row r="54">
      <x:c r="A54" s="1" t="str">
        <x:v>Citigroup</x:v>
      </x:c>
      <x:c r="B54" s="1" t="str">
        <x:v>Adverse</x:v>
      </x:c>
      <x:c r="C54" s="1" t="n">
        <x:v>9</x:v>
      </x:c>
      <x:c r="D54" s="14" t="n">
        <x:f>D53+'Assumptions'!C24</x:f>
        <x:v>-0.01</x:v>
      </x:c>
      <x:c r="E54" s="14" t="n">
        <x:f>'Assumptions'!D24</x:f>
        <x:v>0.05</x:v>
      </x:c>
      <x:c r="F54" s="14" t="n">
        <x:f>'Source'!K6+D54</x:f>
        <x:v>0.1368308679073187</x:v>
      </x:c>
      <x:c r="G54" s="14" t="n">
        <x:f>('Source'!F6-'Source'!G6-I54)/'Source'!E6</x:f>
        <x:v>0.36891441947811376</x:v>
      </x:c>
      <x:c r="H54" s="11" t="n">
        <x:f>'Source'!H6-I54</x:f>
        <x:v>1430289600</x:v>
      </x:c>
      <x:c r="I54" s="11" t="n">
        <x:f>'Source'!H6*E54</x:f>
        <x:v>75278400</x:v>
      </x:c>
      <x:c r="J54" s="11" t="n">
        <x:f>'Source'!I6*L54</x:f>
        <x:v>13535160</x:v>
      </x:c>
      <x:c r="K54" s="14" t="n">
        <x:f>J54/'Source'!C6</x:f>
        <x:v>0.07480427321613123</x:v>
      </x:c>
      <x:c r="L54" s="14" t="n">
        <x:f>'Assumptions'!E24</x:f>
        <x:v>0.03</x:v>
      </x:c>
      <x:c r="M54" s="14" t="n">
        <x:v>0.136831</x:v>
      </x:c>
      <x:c r="N54" s="14" t="n">
        <x:v>0.368914</x:v>
      </x:c>
      <x:c r="O54" s="1" t="str">
        <x:f>IF(AND(ROUND(F54,6)=M54,ROUND(G54,6)=N54),"PASS","CHECK")</x:f>
        <x:v>PASS</x:v>
      </x:c>
      <x:c r="P54" s="1"/>
    </x:row>
    <x:row r="55">
      <x:c r="A55" s="1" t="str">
        <x:v>Citigroup</x:v>
      </x:c>
      <x:c r="B55" s="1" t="str">
        <x:v>Severely Adverse</x:v>
      </x:c>
      <x:c r="C55" s="1" t="n">
        <x:v>0</x:v>
      </x:c>
      <x:c r="D55" s="14" t="n">
        <x:f>'Assumptions'!C25</x:f>
        <x:v>0</x:v>
      </x:c>
      <x:c r="E55" s="14" t="n">
        <x:f>'Assumptions'!D25</x:f>
        <x:v>0</x:v>
      </x:c>
      <x:c r="F55" s="14" t="n">
        <x:f>'Source'!K6+D55</x:f>
        <x:v>0.1468308679073187</x:v>
      </x:c>
      <x:c r="G55" s="14" t="n">
        <x:f>('Source'!F6-'Source'!G6-I55)/'Source'!E6</x:f>
        <x:v>0.3949204291773732</x:v>
      </x:c>
      <x:c r="H55" s="11" t="n">
        <x:f>'Source'!H6-I55</x:f>
        <x:v>1505568000</x:v>
      </x:c>
      <x:c r="I55" s="11" t="n">
        <x:f>'Source'!H6*E55</x:f>
        <x:v>0</x:v>
      </x:c>
      <x:c r="J55" s="11" t="n">
        <x:f>'Source'!I6*L55</x:f>
        <x:v>0</x:v>
      </x:c>
      <x:c r="K55" s="14" t="n">
        <x:f>J55/'Source'!C6</x:f>
        <x:v>0</x:v>
      </x:c>
      <x:c r="L55" s="14" t="n">
        <x:f>'Assumptions'!E25</x:f>
        <x:v>0</x:v>
      </x:c>
      <x:c r="M55" s="14" t="n">
        <x:v>0.146831</x:v>
      </x:c>
      <x:c r="N55" s="14" t="n">
        <x:v>0.39492</x:v>
      </x:c>
      <x:c r="O55" s="1" t="str">
        <x:f>IF(AND(ROUND(F55,6)=M55,ROUND(G55,6)=N55),"PASS","CHECK")</x:f>
        <x:v>PASS</x:v>
      </x:c>
      <x:c r="P55" s="1"/>
    </x:row>
    <x:row r="56">
      <x:c r="A56" s="1" t="str">
        <x:v>Citigroup</x:v>
      </x:c>
      <x:c r="B56" s="1" t="str">
        <x:v>Severely Adverse</x:v>
      </x:c>
      <x:c r="C56" s="1" t="n">
        <x:v>1</x:v>
      </x:c>
      <x:c r="D56" s="14" t="n">
        <x:f>D55+'Assumptions'!C26</x:f>
        <x:v>-0.006</x:v>
      </x:c>
      <x:c r="E56" s="14" t="n">
        <x:f>'Assumptions'!D26</x:f>
        <x:v>0.075</x:v>
      </x:c>
      <x:c r="F56" s="14" t="n">
        <x:f>'Source'!K6+D56</x:f>
        <x:v>0.1408308679073187</x:v>
      </x:c>
      <x:c r="G56" s="14" t="n">
        <x:f>('Source'!F6-'Source'!G6-I56)/'Source'!E6</x:f>
        <x:v>0.3559114146284841</x:v>
      </x:c>
      <x:c r="H56" s="11" t="n">
        <x:f>'Source'!H6-I56</x:f>
        <x:v>1392650400</x:v>
      </x:c>
      <x:c r="I56" s="11" t="n">
        <x:f>'Source'!H6*E56</x:f>
        <x:v>112917600</x:v>
      </x:c>
      <x:c r="J56" s="11" t="n">
        <x:f>'Source'!I6*L56</x:f>
        <x:v>22558600</x:v>
      </x:c>
      <x:c r="K56" s="14" t="n">
        <x:f>J56/'Source'!C6</x:f>
        <x:v>0.12467378869355204</x:v>
      </x:c>
      <x:c r="L56" s="14" t="n">
        <x:f>'Assumptions'!E26</x:f>
        <x:v>0.05</x:v>
      </x:c>
      <x:c r="M56" s="14" t="n">
        <x:v>0.140831</x:v>
      </x:c>
      <x:c r="N56" s="14" t="n">
        <x:v>0.355911</x:v>
      </x:c>
      <x:c r="O56" s="1" t="str">
        <x:f>IF(AND(ROUND(F56,6)=M56,ROUND(G56,6)=N56),"PASS","CHECK")</x:f>
        <x:v>PASS</x:v>
      </x:c>
      <x:c r="P56" s="1"/>
    </x:row>
    <x:row r="57">
      <x:c r="A57" s="1" t="str">
        <x:v>Citigroup</x:v>
      </x:c>
      <x:c r="B57" s="1" t="str">
        <x:v>Severely Adverse</x:v>
      </x:c>
      <x:c r="C57" s="1" t="n">
        <x:v>2</x:v>
      </x:c>
      <x:c r="D57" s="14" t="n">
        <x:f>D56+'Assumptions'!C27</x:f>
        <x:v>-0.011</x:v>
      </x:c>
      <x:c r="E57" s="14" t="n">
        <x:f>'Assumptions'!D27</x:f>
        <x:v>0.15</x:v>
      </x:c>
      <x:c r="F57" s="14" t="n">
        <x:f>'Source'!K6+D57</x:f>
        <x:v>0.1358308679073187</x:v>
      </x:c>
      <x:c r="G57" s="14" t="n">
        <x:f>('Source'!F6-'Source'!G6-I57)/'Source'!E6</x:f>
        <x:v>0.316902400079595</x:v>
      </x:c>
      <x:c r="H57" s="11" t="n">
        <x:f>'Source'!H6-I57</x:f>
        <x:v>1279732800</x:v>
      </x:c>
      <x:c r="I57" s="11" t="n">
        <x:f>'Source'!H6*E57</x:f>
        <x:v>225835200</x:v>
      </x:c>
      <x:c r="J57" s="11" t="n">
        <x:f>'Source'!I6*L57</x:f>
        <x:v>45117200</x:v>
      </x:c>
      <x:c r="K57" s="14" t="n">
        <x:f>J57/'Source'!C6</x:f>
        <x:v>0.24934757738710409</x:v>
      </x:c>
      <x:c r="L57" s="14" t="n">
        <x:f>'Assumptions'!E27</x:f>
        <x:v>0.1</x:v>
      </x:c>
      <x:c r="M57" s="14" t="n">
        <x:v>0.135831</x:v>
      </x:c>
      <x:c r="N57" s="14" t="n">
        <x:v>0.316902</x:v>
      </x:c>
      <x:c r="O57" s="1" t="str">
        <x:f>IF(AND(ROUND(F57,6)=M57,ROUND(G57,6)=N57),"PASS","CHECK")</x:f>
        <x:v>PASS</x:v>
      </x:c>
      <x:c r="P57" s="1"/>
    </x:row>
    <x:row r="58">
      <x:c r="A58" s="1" t="str">
        <x:v>Citigroup</x:v>
      </x:c>
      <x:c r="B58" s="1" t="str">
        <x:v>Severely Adverse</x:v>
      </x:c>
      <x:c r="C58" s="1" t="n">
        <x:v>3</x:v>
      </x:c>
      <x:c r="D58" s="14" t="n">
        <x:f>D57+'Assumptions'!C28</x:f>
        <x:v>-0.015</x:v>
      </x:c>
      <x:c r="E58" s="14" t="n">
        <x:f>'Assumptions'!D28</x:f>
        <x:v>0.15</x:v>
      </x:c>
      <x:c r="F58" s="14" t="n">
        <x:f>'Source'!K6+D58</x:f>
        <x:v>0.13183086790731868</x:v>
      </x:c>
      <x:c r="G58" s="14" t="n">
        <x:f>('Source'!F6-'Source'!G6-I58)/'Source'!E6</x:f>
        <x:v>0.316902400079595</x:v>
      </x:c>
      <x:c r="H58" s="11" t="n">
        <x:f>'Source'!H6-I58</x:f>
        <x:v>1279732800</x:v>
      </x:c>
      <x:c r="I58" s="11" t="n">
        <x:f>'Source'!H6*E58</x:f>
        <x:v>225835200</x:v>
      </x:c>
      <x:c r="J58" s="11" t="n">
        <x:f>'Source'!I6*L58</x:f>
        <x:v>45117200</x:v>
      </x:c>
      <x:c r="K58" s="14" t="n">
        <x:f>J58/'Source'!C6</x:f>
        <x:v>0.24934757738710409</x:v>
      </x:c>
      <x:c r="L58" s="14" t="n">
        <x:f>'Assumptions'!E28</x:f>
        <x:v>0.1</x:v>
      </x:c>
      <x:c r="M58" s="14" t="n">
        <x:v>0.131831</x:v>
      </x:c>
      <x:c r="N58" s="14" t="n">
        <x:v>0.316902</x:v>
      </x:c>
      <x:c r="O58" s="1" t="str">
        <x:f>IF(AND(ROUND(F58,6)=M58,ROUND(G58,6)=N58),"PASS","CHECK")</x:f>
        <x:v>PASS</x:v>
      </x:c>
      <x:c r="P58" s="1"/>
    </x:row>
    <x:row r="59">
      <x:c r="A59" s="1" t="str">
        <x:v>Citigroup</x:v>
      </x:c>
      <x:c r="B59" s="1" t="str">
        <x:v>Severely Adverse</x:v>
      </x:c>
      <x:c r="C59" s="1" t="n">
        <x:v>4</x:v>
      </x:c>
      <x:c r="D59" s="14" t="n">
        <x:f>D58+'Assumptions'!C29</x:f>
        <x:v>-0.018</x:v>
      </x:c>
      <x:c r="E59" s="14" t="n">
        <x:f>'Assumptions'!D29</x:f>
        <x:v>0.15</x:v>
      </x:c>
      <x:c r="F59" s="14" t="n">
        <x:f>'Source'!K6+D59</x:f>
        <x:v>0.1288308679073187</x:v>
      </x:c>
      <x:c r="G59" s="14" t="n">
        <x:f>('Source'!F6-'Source'!G6-I59)/'Source'!E6</x:f>
        <x:v>0.316902400079595</x:v>
      </x:c>
      <x:c r="H59" s="11" t="n">
        <x:f>'Source'!H6-I59</x:f>
        <x:v>1279732800</x:v>
      </x:c>
      <x:c r="I59" s="11" t="n">
        <x:f>'Source'!H6*E59</x:f>
        <x:v>225835200</x:v>
      </x:c>
      <x:c r="J59" s="11" t="n">
        <x:f>'Source'!I6*L59</x:f>
        <x:v>45117200</x:v>
      </x:c>
      <x:c r="K59" s="14" t="n">
        <x:f>J59/'Source'!C6</x:f>
        <x:v>0.24934757738710409</x:v>
      </x:c>
      <x:c r="L59" s="14" t="n">
        <x:f>'Assumptions'!E29</x:f>
        <x:v>0.1</x:v>
      </x:c>
      <x:c r="M59" s="14" t="n">
        <x:v>0.128831</x:v>
      </x:c>
      <x:c r="N59" s="14" t="n">
        <x:v>0.316902</x:v>
      </x:c>
      <x:c r="O59" s="1" t="str">
        <x:f>IF(AND(ROUND(F59,6)=M59,ROUND(G59,6)=N59),"PASS","CHECK")</x:f>
        <x:v>PASS</x:v>
      </x:c>
      <x:c r="P59" s="1"/>
    </x:row>
    <x:row r="60">
      <x:c r="A60" s="1" t="str">
        <x:v>Citigroup</x:v>
      </x:c>
      <x:c r="B60" s="1" t="str">
        <x:v>Severely Adverse</x:v>
      </x:c>
      <x:c r="C60" s="1" t="n">
        <x:v>5</x:v>
      </x:c>
      <x:c r="D60" s="14" t="n">
        <x:f>D59+'Assumptions'!C30</x:f>
        <x:v>-0.016999999999999998</x:v>
      </x:c>
      <x:c r="E60" s="14" t="n">
        <x:f>'Assumptions'!D30</x:f>
        <x:v>0.15</x:v>
      </x:c>
      <x:c r="F60" s="14" t="n">
        <x:f>'Source'!K6+D60</x:f>
        <x:v>0.1298308679073187</x:v>
      </x:c>
      <x:c r="G60" s="14" t="n">
        <x:f>('Source'!F6-'Source'!G6-I60)/'Source'!E6</x:f>
        <x:v>0.316902400079595</x:v>
      </x:c>
      <x:c r="H60" s="11" t="n">
        <x:f>'Source'!H6-I60</x:f>
        <x:v>1279732800</x:v>
      </x:c>
      <x:c r="I60" s="11" t="n">
        <x:f>'Source'!H6*E60</x:f>
        <x:v>225835200</x:v>
      </x:c>
      <x:c r="J60" s="11" t="n">
        <x:f>'Source'!I6*L60</x:f>
        <x:v>45117200</x:v>
      </x:c>
      <x:c r="K60" s="14" t="n">
        <x:f>J60/'Source'!C6</x:f>
        <x:v>0.24934757738710409</x:v>
      </x:c>
      <x:c r="L60" s="14" t="n">
        <x:f>'Assumptions'!E30</x:f>
        <x:v>0.1</x:v>
      </x:c>
      <x:c r="M60" s="14" t="n">
        <x:v>0.129831</x:v>
      </x:c>
      <x:c r="N60" s="14" t="n">
        <x:v>0.316902</x:v>
      </x:c>
      <x:c r="O60" s="1" t="str">
        <x:f>IF(AND(ROUND(F60,6)=M60,ROUND(G60,6)=N60),"PASS","CHECK")</x:f>
        <x:v>PASS</x:v>
      </x:c>
      <x:c r="P60" s="1"/>
    </x:row>
    <x:row r="61">
      <x:c r="A61" s="1" t="str">
        <x:v>Citigroup</x:v>
      </x:c>
      <x:c r="B61" s="1" t="str">
        <x:v>Severely Adverse</x:v>
      </x:c>
      <x:c r="C61" s="1" t="n">
        <x:v>6</x:v>
      </x:c>
      <x:c r="D61" s="14" t="n">
        <x:f>D60+'Assumptions'!C31</x:f>
        <x:v>-0.015999999999999997</x:v>
      </x:c>
      <x:c r="E61" s="14" t="n">
        <x:f>'Assumptions'!D31</x:f>
        <x:v>0.15</x:v>
      </x:c>
      <x:c r="F61" s="14" t="n">
        <x:f>'Source'!K6+D61</x:f>
        <x:v>0.1308308679073187</x:v>
      </x:c>
      <x:c r="G61" s="14" t="n">
        <x:f>('Source'!F6-'Source'!G6-I61)/'Source'!E6</x:f>
        <x:v>0.316902400079595</x:v>
      </x:c>
      <x:c r="H61" s="11" t="n">
        <x:f>'Source'!H6-I61</x:f>
        <x:v>1279732800</x:v>
      </x:c>
      <x:c r="I61" s="11" t="n">
        <x:f>'Source'!H6*E61</x:f>
        <x:v>225835200</x:v>
      </x:c>
      <x:c r="J61" s="11" t="n">
        <x:f>'Source'!I6*L61</x:f>
        <x:v>45117200</x:v>
      </x:c>
      <x:c r="K61" s="14" t="n">
        <x:f>J61/'Source'!C6</x:f>
        <x:v>0.24934757738710409</x:v>
      </x:c>
      <x:c r="L61" s="14" t="n">
        <x:f>'Assumptions'!E31</x:f>
        <x:v>0.1</x:v>
      </x:c>
      <x:c r="M61" s="14" t="n">
        <x:v>0.130831</x:v>
      </x:c>
      <x:c r="N61" s="14" t="n">
        <x:v>0.316902</x:v>
      </x:c>
      <x:c r="O61" s="1" t="str">
        <x:f>IF(AND(ROUND(F61,6)=M61,ROUND(G61,6)=N61),"PASS","CHECK")</x:f>
        <x:v>PASS</x:v>
      </x:c>
      <x:c r="P61" s="1"/>
    </x:row>
    <x:row r="62">
      <x:c r="A62" s="1" t="str">
        <x:v>Citigroup</x:v>
      </x:c>
      <x:c r="B62" s="1" t="str">
        <x:v>Severely Adverse</x:v>
      </x:c>
      <x:c r="C62" s="1" t="n">
        <x:v>7</x:v>
      </x:c>
      <x:c r="D62" s="14" t="n">
        <x:f>D61+'Assumptions'!C32</x:f>
        <x:v>-0.014999999999999996</x:v>
      </x:c>
      <x:c r="E62" s="14" t="n">
        <x:f>'Assumptions'!D32</x:f>
        <x:v>0.15</x:v>
      </x:c>
      <x:c r="F62" s="14" t="n">
        <x:f>'Source'!K6+D62</x:f>
        <x:v>0.1318308679073187</x:v>
      </x:c>
      <x:c r="G62" s="14" t="n">
        <x:f>('Source'!F6-'Source'!G6-I62)/'Source'!E6</x:f>
        <x:v>0.316902400079595</x:v>
      </x:c>
      <x:c r="H62" s="11" t="n">
        <x:f>'Source'!H6-I62</x:f>
        <x:v>1279732800</x:v>
      </x:c>
      <x:c r="I62" s="11" t="n">
        <x:f>'Source'!H6*E62</x:f>
        <x:v>225835200</x:v>
      </x:c>
      <x:c r="J62" s="11" t="n">
        <x:f>'Source'!I6*L62</x:f>
        <x:v>45117200</x:v>
      </x:c>
      <x:c r="K62" s="14" t="n">
        <x:f>J62/'Source'!C6</x:f>
        <x:v>0.24934757738710409</x:v>
      </x:c>
      <x:c r="L62" s="14" t="n">
        <x:f>'Assumptions'!E32</x:f>
        <x:v>0.1</x:v>
      </x:c>
      <x:c r="M62" s="14" t="n">
        <x:v>0.131831</x:v>
      </x:c>
      <x:c r="N62" s="14" t="n">
        <x:v>0.316902</x:v>
      </x:c>
      <x:c r="O62" s="1" t="str">
        <x:f>IF(AND(ROUND(F62,6)=M62,ROUND(G62,6)=N62),"PASS","CHECK")</x:f>
        <x:v>PASS</x:v>
      </x:c>
      <x:c r="P62" s="1"/>
    </x:row>
    <x:row r="63">
      <x:c r="A63" s="1" t="str">
        <x:v>Citigroup</x:v>
      </x:c>
      <x:c r="B63" s="1" t="str">
        <x:v>Severely Adverse</x:v>
      </x:c>
      <x:c r="C63" s="1" t="n">
        <x:v>8</x:v>
      </x:c>
      <x:c r="D63" s="14" t="n">
        <x:f>D62+'Assumptions'!C33</x:f>
        <x:v>-0.013999999999999995</x:v>
      </x:c>
      <x:c r="E63" s="14" t="n">
        <x:f>'Assumptions'!D33</x:f>
        <x:v>0.15</x:v>
      </x:c>
      <x:c r="F63" s="14" t="n">
        <x:f>'Source'!K6+D63</x:f>
        <x:v>0.1328308679073187</x:v>
      </x:c>
      <x:c r="G63" s="14" t="n">
        <x:f>('Source'!F6-'Source'!G6-I63)/'Source'!E6</x:f>
        <x:v>0.316902400079595</x:v>
      </x:c>
      <x:c r="H63" s="11" t="n">
        <x:f>'Source'!H6-I63</x:f>
        <x:v>1279732800</x:v>
      </x:c>
      <x:c r="I63" s="11" t="n">
        <x:f>'Source'!H6*E63</x:f>
        <x:v>225835200</x:v>
      </x:c>
      <x:c r="J63" s="11" t="n">
        <x:f>'Source'!I6*L63</x:f>
        <x:v>45117200</x:v>
      </x:c>
      <x:c r="K63" s="14" t="n">
        <x:f>J63/'Source'!C6</x:f>
        <x:v>0.24934757738710409</x:v>
      </x:c>
      <x:c r="L63" s="14" t="n">
        <x:f>'Assumptions'!E33</x:f>
        <x:v>0.1</x:v>
      </x:c>
      <x:c r="M63" s="14" t="n">
        <x:v>0.132831</x:v>
      </x:c>
      <x:c r="N63" s="14" t="n">
        <x:v>0.316902</x:v>
      </x:c>
      <x:c r="O63" s="1" t="str">
        <x:f>IF(AND(ROUND(F63,6)=M63,ROUND(G63,6)=N63),"PASS","CHECK")</x:f>
        <x:v>PASS</x:v>
      </x:c>
      <x:c r="P63" s="1"/>
    </x:row>
    <x:row r="64">
      <x:c r="A64" s="1" t="str">
        <x:v>Citigroup</x:v>
      </x:c>
      <x:c r="B64" s="1" t="str">
        <x:v>Severely Adverse</x:v>
      </x:c>
      <x:c r="C64" s="1" t="n">
        <x:v>9</x:v>
      </x:c>
      <x:c r="D64" s="14" t="n">
        <x:f>D63+'Assumptions'!C34</x:f>
        <x:v>-0.012999999999999994</x:v>
      </x:c>
      <x:c r="E64" s="14" t="n">
        <x:f>'Assumptions'!D34</x:f>
        <x:v>0.15</x:v>
      </x:c>
      <x:c r="F64" s="14" t="n">
        <x:f>'Source'!K6+D64</x:f>
        <x:v>0.1338308679073187</x:v>
      </x:c>
      <x:c r="G64" s="14" t="n">
        <x:f>('Source'!F6-'Source'!G6-I64)/'Source'!E6</x:f>
        <x:v>0.316902400079595</x:v>
      </x:c>
      <x:c r="H64" s="11" t="n">
        <x:f>'Source'!H6-I64</x:f>
        <x:v>1279732800</x:v>
      </x:c>
      <x:c r="I64" s="11" t="n">
        <x:f>'Source'!H6*E64</x:f>
        <x:v>225835200</x:v>
      </x:c>
      <x:c r="J64" s="11" t="n">
        <x:f>'Source'!I6*L64</x:f>
        <x:v>45117200</x:v>
      </x:c>
      <x:c r="K64" s="14" t="n">
        <x:f>J64/'Source'!C6</x:f>
        <x:v>0.24934757738710409</x:v>
      </x:c>
      <x:c r="L64" s="14" t="n">
        <x:f>'Assumptions'!E34</x:f>
        <x:v>0.1</x:v>
      </x:c>
      <x:c r="M64" s="14" t="n">
        <x:v>0.133831</x:v>
      </x:c>
      <x:c r="N64" s="14" t="n">
        <x:v>0.316902</x:v>
      </x:c>
      <x:c r="O64" s="1" t="str">
        <x:f>IF(AND(ROUND(F64,6)=M64,ROUND(G64,6)=N64),"PASS","CHECK")</x:f>
        <x:v>PASS</x:v>
      </x:c>
      <x:c r="P64" s="1"/>
    </x:row>
    <x:row r="65">
      <x:c r="A65" s="1" t="str">
        <x:v>Goldman Sachs</x:v>
      </x:c>
      <x:c r="B65" s="1" t="str">
        <x:v>Baseline</x:v>
      </x:c>
      <x:c r="C65" s="1" t="n">
        <x:v>0</x:v>
      </x:c>
      <x:c r="D65" s="14" t="n">
        <x:f>'Assumptions'!C5</x:f>
        <x:v>0</x:v>
      </x:c>
      <x:c r="E65" s="14" t="n">
        <x:f>'Assumptions'!D5</x:f>
        <x:v>0</x:v>
      </x:c>
      <x:c r="F65" s="14" t="n">
        <x:f>'Source'!K7+D65</x:f>
        <x:v>0.14467014064555297</x:v>
      </x:c>
      <x:c r="G65" s="14" t="n">
        <x:f>('Source'!F7-'Source'!G7-I65)/'Source'!E7</x:f>
        <x:v>0.3734675432894787</x:v>
      </x:c>
      <x:c r="H65" s="11" t="n">
        <x:f>'Source'!H7-I65</x:f>
        <x:v>556556000</x:v>
      </x:c>
      <x:c r="I65" s="11" t="n">
        <x:f>'Source'!H7*E65</x:f>
        <x:v>0</x:v>
      </x:c>
      <x:c r="J65" s="11" t="n">
        <x:f>'Source'!I7*L65</x:f>
        <x:v>0</x:v>
      </x:c>
      <x:c r="K65" s="14" t="n">
        <x:f>J65/'Source'!C7</x:f>
        <x:v>0</x:v>
      </x:c>
      <x:c r="L65" s="14" t="n">
        <x:f>'Assumptions'!E5</x:f>
        <x:v>0</x:v>
      </x:c>
      <x:c r="M65" s="14" t="n">
        <x:v>0.14467</x:v>
      </x:c>
      <x:c r="N65" s="14" t="n">
        <x:v>0.373468</x:v>
      </x:c>
      <x:c r="O65" s="1" t="str">
        <x:f>IF(AND(ROUND(F65,6)=M65,ROUND(G65,6)=N65),"PASS","CHECK")</x:f>
        <x:v>PASS</x:v>
      </x:c>
      <x:c r="P65" s="1"/>
    </x:row>
    <x:row r="66">
      <x:c r="A66" s="1" t="str">
        <x:v>Goldman Sachs</x:v>
      </x:c>
      <x:c r="B66" s="1" t="str">
        <x:v>Baseline</x:v>
      </x:c>
      <x:c r="C66" s="1" t="n">
        <x:v>1</x:v>
      </x:c>
      <x:c r="D66" s="14" t="n">
        <x:f>D65+'Assumptions'!C6</x:f>
        <x:v>0.0003333333333333333</x:v>
      </x:c>
      <x:c r="E66" s="14" t="n">
        <x:f>'Assumptions'!D6</x:f>
        <x:v>0</x:v>
      </x:c>
      <x:c r="F66" s="14" t="n">
        <x:f>'Source'!K7+D66</x:f>
        <x:v>0.1450034739788863</x:v>
      </x:c>
      <x:c r="G66" s="14" t="n">
        <x:f>('Source'!F7-'Source'!G7-I66)/'Source'!E7</x:f>
        <x:v>0.3734675432894787</x:v>
      </x:c>
      <x:c r="H66" s="11" t="n">
        <x:f>'Source'!H7-I66</x:f>
        <x:v>556556000</x:v>
      </x:c>
      <x:c r="I66" s="11" t="n">
        <x:f>'Source'!H7*E66</x:f>
        <x:v>0</x:v>
      </x:c>
      <x:c r="J66" s="11" t="n">
        <x:f>'Source'!I7*L66</x:f>
        <x:v>0</x:v>
      </x:c>
      <x:c r="K66" s="14" t="n">
        <x:f>J66/'Source'!C7</x:f>
        <x:v>0</x:v>
      </x:c>
      <x:c r="L66" s="14" t="n">
        <x:f>'Assumptions'!E6</x:f>
        <x:v>0</x:v>
      </x:c>
      <x:c r="M66" s="14" t="n">
        <x:v>0.145003</x:v>
      </x:c>
      <x:c r="N66" s="14" t="n">
        <x:v>0.373468</x:v>
      </x:c>
      <x:c r="O66" s="1" t="str">
        <x:f>IF(AND(ROUND(F66,6)=M66,ROUND(G66,6)=N66),"PASS","CHECK")</x:f>
        <x:v>PASS</x:v>
      </x:c>
      <x:c r="P66" s="1"/>
    </x:row>
    <x:row r="67">
      <x:c r="A67" s="1" t="str">
        <x:v>Goldman Sachs</x:v>
      </x:c>
      <x:c r="B67" s="1" t="str">
        <x:v>Baseline</x:v>
      </x:c>
      <x:c r="C67" s="1" t="n">
        <x:v>2</x:v>
      </x:c>
      <x:c r="D67" s="14" t="n">
        <x:f>D66+'Assumptions'!C7</x:f>
        <x:v>0.0006666666666666666</x:v>
      </x:c>
      <x:c r="E67" s="14" t="n">
        <x:f>'Assumptions'!D7</x:f>
        <x:v>0</x:v>
      </x:c>
      <x:c r="F67" s="14" t="n">
        <x:f>'Source'!K7+D67</x:f>
        <x:v>0.14533680731221965</x:v>
      </x:c>
      <x:c r="G67" s="14" t="n">
        <x:f>('Source'!F7-'Source'!G7-I67)/'Source'!E7</x:f>
        <x:v>0.3734675432894787</x:v>
      </x:c>
      <x:c r="H67" s="11" t="n">
        <x:f>'Source'!H7-I67</x:f>
        <x:v>556556000</x:v>
      </x:c>
      <x:c r="I67" s="11" t="n">
        <x:f>'Source'!H7*E67</x:f>
        <x:v>0</x:v>
      </x:c>
      <x:c r="J67" s="11" t="n">
        <x:f>'Source'!I7*L67</x:f>
        <x:v>0</x:v>
      </x:c>
      <x:c r="K67" s="14" t="n">
        <x:f>J67/'Source'!C7</x:f>
        <x:v>0</x:v>
      </x:c>
      <x:c r="L67" s="14" t="n">
        <x:f>'Assumptions'!E7</x:f>
        <x:v>0</x:v>
      </x:c>
      <x:c r="M67" s="14" t="n">
        <x:v>0.145337</x:v>
      </x:c>
      <x:c r="N67" s="14" t="n">
        <x:v>0.373468</x:v>
      </x:c>
      <x:c r="O67" s="1" t="str">
        <x:f>IF(AND(ROUND(F67,6)=M67,ROUND(G67,6)=N67),"PASS","CHECK")</x:f>
        <x:v>PASS</x:v>
      </x:c>
      <x:c r="P67" s="1"/>
    </x:row>
    <x:row r="68">
      <x:c r="A68" s="1" t="str">
        <x:v>Goldman Sachs</x:v>
      </x:c>
      <x:c r="B68" s="1" t="str">
        <x:v>Baseline</x:v>
      </x:c>
      <x:c r="C68" s="1" t="n">
        <x:v>3</x:v>
      </x:c>
      <x:c r="D68" s="14" t="n">
        <x:f>D67+'Assumptions'!C8</x:f>
        <x:v>0.001</x:v>
      </x:c>
      <x:c r="E68" s="14" t="n">
        <x:f>'Assumptions'!D8</x:f>
        <x:v>0</x:v>
      </x:c>
      <x:c r="F68" s="14" t="n">
        <x:f>'Source'!K7+D68</x:f>
        <x:v>0.14567014064555298</x:v>
      </x:c>
      <x:c r="G68" s="14" t="n">
        <x:f>('Source'!F7-'Source'!G7-I68)/'Source'!E7</x:f>
        <x:v>0.3734675432894787</x:v>
      </x:c>
      <x:c r="H68" s="11" t="n">
        <x:f>'Source'!H7-I68</x:f>
        <x:v>556556000</x:v>
      </x:c>
      <x:c r="I68" s="11" t="n">
        <x:f>'Source'!H7*E68</x:f>
        <x:v>0</x:v>
      </x:c>
      <x:c r="J68" s="11" t="n">
        <x:f>'Source'!I7*L68</x:f>
        <x:v>0</x:v>
      </x:c>
      <x:c r="K68" s="14" t="n">
        <x:f>J68/'Source'!C7</x:f>
        <x:v>0</x:v>
      </x:c>
      <x:c r="L68" s="14" t="n">
        <x:f>'Assumptions'!E8</x:f>
        <x:v>0</x:v>
      </x:c>
      <x:c r="M68" s="14" t="n">
        <x:v>0.14567</x:v>
      </x:c>
      <x:c r="N68" s="14" t="n">
        <x:v>0.373468</x:v>
      </x:c>
      <x:c r="O68" s="1" t="str">
        <x:f>IF(AND(ROUND(F68,6)=M68,ROUND(G68,6)=N68),"PASS","CHECK")</x:f>
        <x:v>PASS</x:v>
      </x:c>
      <x:c r="P68" s="1"/>
    </x:row>
    <x:row r="69">
      <x:c r="A69" s="1" t="str">
        <x:v>Goldman Sachs</x:v>
      </x:c>
      <x:c r="B69" s="1" t="str">
        <x:v>Baseline</x:v>
      </x:c>
      <x:c r="C69" s="1" t="n">
        <x:v>4</x:v>
      </x:c>
      <x:c r="D69" s="14" t="n">
        <x:f>D68+'Assumptions'!C9</x:f>
        <x:v>0.0013333333333333333</x:v>
      </x:c>
      <x:c r="E69" s="14" t="n">
        <x:f>'Assumptions'!D9</x:f>
        <x:v>0</x:v>
      </x:c>
      <x:c r="F69" s="14" t="n">
        <x:f>'Source'!K7+D69</x:f>
        <x:v>0.1460034739788863</x:v>
      </x:c>
      <x:c r="G69" s="14" t="n">
        <x:f>('Source'!F7-'Source'!G7-I69)/'Source'!E7</x:f>
        <x:v>0.3734675432894787</x:v>
      </x:c>
      <x:c r="H69" s="11" t="n">
        <x:f>'Source'!H7-I69</x:f>
        <x:v>556556000</x:v>
      </x:c>
      <x:c r="I69" s="11" t="n">
        <x:f>'Source'!H7*E69</x:f>
        <x:v>0</x:v>
      </x:c>
      <x:c r="J69" s="11" t="n">
        <x:f>'Source'!I7*L69</x:f>
        <x:v>0</x:v>
      </x:c>
      <x:c r="K69" s="14" t="n">
        <x:f>J69/'Source'!C7</x:f>
        <x:v>0</x:v>
      </x:c>
      <x:c r="L69" s="14" t="n">
        <x:f>'Assumptions'!E9</x:f>
        <x:v>0</x:v>
      </x:c>
      <x:c r="M69" s="14" t="n">
        <x:v>0.146003</x:v>
      </x:c>
      <x:c r="N69" s="14" t="n">
        <x:v>0.373468</x:v>
      </x:c>
      <x:c r="O69" s="1" t="str">
        <x:f>IF(AND(ROUND(F69,6)=M69,ROUND(G69,6)=N69),"PASS","CHECK")</x:f>
        <x:v>PASS</x:v>
      </x:c>
      <x:c r="P69" s="1"/>
    </x:row>
    <x:row r="70">
      <x:c r="A70" s="1" t="str">
        <x:v>Goldman Sachs</x:v>
      </x:c>
      <x:c r="B70" s="1" t="str">
        <x:v>Baseline</x:v>
      </x:c>
      <x:c r="C70" s="1" t="n">
        <x:v>5</x:v>
      </x:c>
      <x:c r="D70" s="14" t="n">
        <x:f>D69+'Assumptions'!C10</x:f>
        <x:v>0.0016666666666666666</x:v>
      </x:c>
      <x:c r="E70" s="14" t="n">
        <x:f>'Assumptions'!D10</x:f>
        <x:v>0</x:v>
      </x:c>
      <x:c r="F70" s="14" t="n">
        <x:f>'Source'!K7+D70</x:f>
        <x:v>0.14633680731221965</x:v>
      </x:c>
      <x:c r="G70" s="14" t="n">
        <x:f>('Source'!F7-'Source'!G7-I70)/'Source'!E7</x:f>
        <x:v>0.3734675432894787</x:v>
      </x:c>
      <x:c r="H70" s="11" t="n">
        <x:f>'Source'!H7-I70</x:f>
        <x:v>556556000</x:v>
      </x:c>
      <x:c r="I70" s="11" t="n">
        <x:f>'Source'!H7*E70</x:f>
        <x:v>0</x:v>
      </x:c>
      <x:c r="J70" s="11" t="n">
        <x:f>'Source'!I7*L70</x:f>
        <x:v>0</x:v>
      </x:c>
      <x:c r="K70" s="14" t="n">
        <x:f>J70/'Source'!C7</x:f>
        <x:v>0</x:v>
      </x:c>
      <x:c r="L70" s="14" t="n">
        <x:f>'Assumptions'!E10</x:f>
        <x:v>0</x:v>
      </x:c>
      <x:c r="M70" s="14" t="n">
        <x:v>0.146337</x:v>
      </x:c>
      <x:c r="N70" s="14" t="n">
        <x:v>0.373468</x:v>
      </x:c>
      <x:c r="O70" s="1" t="str">
        <x:f>IF(AND(ROUND(F70,6)=M70,ROUND(G70,6)=N70),"PASS","CHECK")</x:f>
        <x:v>PASS</x:v>
      </x:c>
      <x:c r="P70" s="1"/>
    </x:row>
    <x:row r="71">
      <x:c r="A71" s="1" t="str">
        <x:v>Goldman Sachs</x:v>
      </x:c>
      <x:c r="B71" s="1" t="str">
        <x:v>Baseline</x:v>
      </x:c>
      <x:c r="C71" s="1" t="n">
        <x:v>6</x:v>
      </x:c>
      <x:c r="D71" s="14" t="n">
        <x:f>D70+'Assumptions'!C11</x:f>
        <x:v>0.002</x:v>
      </x:c>
      <x:c r="E71" s="14" t="n">
        <x:f>'Assumptions'!D11</x:f>
        <x:v>0</x:v>
      </x:c>
      <x:c r="F71" s="14" t="n">
        <x:f>'Source'!K7+D71</x:f>
        <x:v>0.14667014064555298</x:v>
      </x:c>
      <x:c r="G71" s="14" t="n">
        <x:f>('Source'!F7-'Source'!G7-I71)/'Source'!E7</x:f>
        <x:v>0.3734675432894787</x:v>
      </x:c>
      <x:c r="H71" s="11" t="n">
        <x:f>'Source'!H7-I71</x:f>
        <x:v>556556000</x:v>
      </x:c>
      <x:c r="I71" s="11" t="n">
        <x:f>'Source'!H7*E71</x:f>
        <x:v>0</x:v>
      </x:c>
      <x:c r="J71" s="11" t="n">
        <x:f>'Source'!I7*L71</x:f>
        <x:v>0</x:v>
      </x:c>
      <x:c r="K71" s="14" t="n">
        <x:f>J71/'Source'!C7</x:f>
        <x:v>0</x:v>
      </x:c>
      <x:c r="L71" s="14" t="n">
        <x:f>'Assumptions'!E11</x:f>
        <x:v>0</x:v>
      </x:c>
      <x:c r="M71" s="14" t="n">
        <x:v>0.14667</x:v>
      </x:c>
      <x:c r="N71" s="14" t="n">
        <x:v>0.373468</x:v>
      </x:c>
      <x:c r="O71" s="1" t="str">
        <x:f>IF(AND(ROUND(F71,6)=M71,ROUND(G71,6)=N71),"PASS","CHECK")</x:f>
        <x:v>PASS</x:v>
      </x:c>
      <x:c r="P71" s="1"/>
    </x:row>
    <x:row r="72">
      <x:c r="A72" s="1" t="str">
        <x:v>Goldman Sachs</x:v>
      </x:c>
      <x:c r="B72" s="1" t="str">
        <x:v>Baseline</x:v>
      </x:c>
      <x:c r="C72" s="1" t="n">
        <x:v>7</x:v>
      </x:c>
      <x:c r="D72" s="14" t="n">
        <x:f>D71+'Assumptions'!C12</x:f>
        <x:v>0.0023333333333333335</x:v>
      </x:c>
      <x:c r="E72" s="14" t="n">
        <x:f>'Assumptions'!D12</x:f>
        <x:v>0</x:v>
      </x:c>
      <x:c r="F72" s="14" t="n">
        <x:f>'Source'!K7+D72</x:f>
        <x:v>0.1470034739788863</x:v>
      </x:c>
      <x:c r="G72" s="14" t="n">
        <x:f>('Source'!F7-'Source'!G7-I72)/'Source'!E7</x:f>
        <x:v>0.3734675432894787</x:v>
      </x:c>
      <x:c r="H72" s="11" t="n">
        <x:f>'Source'!H7-I72</x:f>
        <x:v>556556000</x:v>
      </x:c>
      <x:c r="I72" s="11" t="n">
        <x:f>'Source'!H7*E72</x:f>
        <x:v>0</x:v>
      </x:c>
      <x:c r="J72" s="11" t="n">
        <x:f>'Source'!I7*L72</x:f>
        <x:v>0</x:v>
      </x:c>
      <x:c r="K72" s="14" t="n">
        <x:f>J72/'Source'!C7</x:f>
        <x:v>0</x:v>
      </x:c>
      <x:c r="L72" s="14" t="n">
        <x:f>'Assumptions'!E12</x:f>
        <x:v>0</x:v>
      </x:c>
      <x:c r="M72" s="14" t="n">
        <x:v>0.147003</x:v>
      </x:c>
      <x:c r="N72" s="14" t="n">
        <x:v>0.373468</x:v>
      </x:c>
      <x:c r="O72" s="1" t="str">
        <x:f>IF(AND(ROUND(F72,6)=M72,ROUND(G72,6)=N72),"PASS","CHECK")</x:f>
        <x:v>PASS</x:v>
      </x:c>
      <x:c r="P72" s="1"/>
    </x:row>
    <x:row r="73">
      <x:c r="A73" s="1" t="str">
        <x:v>Goldman Sachs</x:v>
      </x:c>
      <x:c r="B73" s="1" t="str">
        <x:v>Baseline</x:v>
      </x:c>
      <x:c r="C73" s="1" t="n">
        <x:v>8</x:v>
      </x:c>
      <x:c r="D73" s="14" t="n">
        <x:f>D72+'Assumptions'!C13</x:f>
        <x:v>0.002666666666666667</x:v>
      </x:c>
      <x:c r="E73" s="14" t="n">
        <x:f>'Assumptions'!D13</x:f>
        <x:v>0</x:v>
      </x:c>
      <x:c r="F73" s="14" t="n">
        <x:f>'Source'!K7+D73</x:f>
        <x:v>0.14733680731221965</x:v>
      </x:c>
      <x:c r="G73" s="14" t="n">
        <x:f>('Source'!F7-'Source'!G7-I73)/'Source'!E7</x:f>
        <x:v>0.3734675432894787</x:v>
      </x:c>
      <x:c r="H73" s="11" t="n">
        <x:f>'Source'!H7-I73</x:f>
        <x:v>556556000</x:v>
      </x:c>
      <x:c r="I73" s="11" t="n">
        <x:f>'Source'!H7*E73</x:f>
        <x:v>0</x:v>
      </x:c>
      <x:c r="J73" s="11" t="n">
        <x:f>'Source'!I7*L73</x:f>
        <x:v>0</x:v>
      </x:c>
      <x:c r="K73" s="14" t="n">
        <x:f>J73/'Source'!C7</x:f>
        <x:v>0</x:v>
      </x:c>
      <x:c r="L73" s="14" t="n">
        <x:f>'Assumptions'!E13</x:f>
        <x:v>0</x:v>
      </x:c>
      <x:c r="M73" s="14" t="n">
        <x:v>0.147337</x:v>
      </x:c>
      <x:c r="N73" s="14" t="n">
        <x:v>0.373468</x:v>
      </x:c>
      <x:c r="O73" s="1" t="str">
        <x:f>IF(AND(ROUND(F73,6)=M73,ROUND(G73,6)=N73),"PASS","CHECK")</x:f>
        <x:v>PASS</x:v>
      </x:c>
      <x:c r="P73" s="1"/>
    </x:row>
    <x:row r="74">
      <x:c r="A74" s="1" t="str">
        <x:v>Goldman Sachs</x:v>
      </x:c>
      <x:c r="B74" s="1" t="str">
        <x:v>Baseline</x:v>
      </x:c>
      <x:c r="C74" s="1" t="n">
        <x:v>9</x:v>
      </x:c>
      <x:c r="D74" s="14" t="n">
        <x:f>D73+'Assumptions'!C14</x:f>
        <x:v>0.0030000000000000005</x:v>
      </x:c>
      <x:c r="E74" s="14" t="n">
        <x:f>'Assumptions'!D14</x:f>
        <x:v>0</x:v>
      </x:c>
      <x:c r="F74" s="14" t="n">
        <x:f>'Source'!K7+D74</x:f>
        <x:v>0.14767014064555298</x:v>
      </x:c>
      <x:c r="G74" s="14" t="n">
        <x:f>('Source'!F7-'Source'!G7-I74)/'Source'!E7</x:f>
        <x:v>0.3734675432894787</x:v>
      </x:c>
      <x:c r="H74" s="11" t="n">
        <x:f>'Source'!H7-I74</x:f>
        <x:v>556556000</x:v>
      </x:c>
      <x:c r="I74" s="11" t="n">
        <x:f>'Source'!H7*E74</x:f>
        <x:v>0</x:v>
      </x:c>
      <x:c r="J74" s="11" t="n">
        <x:f>'Source'!I7*L74</x:f>
        <x:v>0</x:v>
      </x:c>
      <x:c r="K74" s="14" t="n">
        <x:f>J74/'Source'!C7</x:f>
        <x:v>0</x:v>
      </x:c>
      <x:c r="L74" s="14" t="n">
        <x:f>'Assumptions'!E14</x:f>
        <x:v>0</x:v>
      </x:c>
      <x:c r="M74" s="14" t="n">
        <x:v>0.14767</x:v>
      </x:c>
      <x:c r="N74" s="14" t="n">
        <x:v>0.373468</x:v>
      </x:c>
      <x:c r="O74" s="1" t="str">
        <x:f>IF(AND(ROUND(F74,6)=M74,ROUND(G74,6)=N74),"PASS","CHECK")</x:f>
        <x:v>PASS</x:v>
      </x:c>
      <x:c r="P74" s="1"/>
    </x:row>
    <x:row r="75">
      <x:c r="A75" s="1" t="str">
        <x:v>Goldman Sachs</x:v>
      </x:c>
      <x:c r="B75" s="1" t="str">
        <x:v>Adverse</x:v>
      </x:c>
      <x:c r="C75" s="1" t="n">
        <x:v>0</x:v>
      </x:c>
      <x:c r="D75" s="14" t="n">
        <x:f>'Assumptions'!C15</x:f>
        <x:v>0</x:v>
      </x:c>
      <x:c r="E75" s="14" t="n">
        <x:f>'Assumptions'!D15</x:f>
        <x:v>0</x:v>
      </x:c>
      <x:c r="F75" s="14" t="n">
        <x:f>'Source'!K7+D75</x:f>
        <x:v>0.14467014064555297</x:v>
      </x:c>
      <x:c r="G75" s="14" t="n">
        <x:f>('Source'!F7-'Source'!G7-I75)/'Source'!E7</x:f>
        <x:v>0.3734675432894787</x:v>
      </x:c>
      <x:c r="H75" s="11" t="n">
        <x:f>'Source'!H7-I75</x:f>
        <x:v>556556000</x:v>
      </x:c>
      <x:c r="I75" s="11" t="n">
        <x:f>'Source'!H7*E75</x:f>
        <x:v>0</x:v>
      </x:c>
      <x:c r="J75" s="11" t="n">
        <x:f>'Source'!I7*L75</x:f>
        <x:v>0</x:v>
      </x:c>
      <x:c r="K75" s="14" t="n">
        <x:f>J75/'Source'!C7</x:f>
        <x:v>0</x:v>
      </x:c>
      <x:c r="L75" s="14" t="n">
        <x:f>'Assumptions'!E15</x:f>
        <x:v>0</x:v>
      </x:c>
      <x:c r="M75" s="14" t="n">
        <x:v>0.14467</x:v>
      </x:c>
      <x:c r="N75" s="14" t="n">
        <x:v>0.373468</x:v>
      </x:c>
      <x:c r="O75" s="1" t="str">
        <x:f>IF(AND(ROUND(F75,6)=M75,ROUND(G75,6)=N75),"PASS","CHECK")</x:f>
        <x:v>PASS</x:v>
      </x:c>
      <x:c r="P75" s="1"/>
    </x:row>
    <x:row r="76">
      <x:c r="A76" s="1" t="str">
        <x:v>Goldman Sachs</x:v>
      </x:c>
      <x:c r="B76" s="1" t="str">
        <x:v>Adverse</x:v>
      </x:c>
      <x:c r="C76" s="1" t="n">
        <x:v>1</x:v>
      </x:c>
      <x:c r="D76" s="14" t="n">
        <x:f>D75+'Assumptions'!C16</x:f>
        <x:v>-0.002</x:v>
      </x:c>
      <x:c r="E76" s="14" t="n">
        <x:f>'Assumptions'!D16</x:f>
        <x:v>0.0125</x:v>
      </x:c>
      <x:c r="F76" s="14" t="n">
        <x:f>'Source'!K7+D76</x:f>
        <x:v>0.14267014064555297</x:v>
      </x:c>
      <x:c r="G76" s="14" t="n">
        <x:f>('Source'!F7-'Source'!G7-I76)/'Source'!E7</x:f>
        <x:v>0.3701978558178249</x:v>
      </x:c>
      <x:c r="H76" s="11" t="n">
        <x:f>'Source'!H7-I76</x:f>
        <x:v>549599050</x:v>
      </x:c>
      <x:c r="I76" s="11" t="n">
        <x:f>'Source'!H7*E76</x:f>
        <x:v>6956950</x:v>
      </x:c>
      <x:c r="J76" s="11" t="n">
        <x:f>'Source'!I7*L76</x:f>
        <x:v>1715880</x:v>
      </x:c>
      <x:c r="K76" s="14" t="n">
        <x:f>J76/'Source'!C7</x:f>
        <x:v>0.015001311395149586</x:v>
      </x:c>
      <x:c r="L76" s="14" t="n">
        <x:f>'Assumptions'!E16</x:f>
        <x:v>0.0075</x:v>
      </x:c>
      <x:c r="M76" s="14" t="n">
        <x:v>0.14267</x:v>
      </x:c>
      <x:c r="N76" s="14" t="n">
        <x:v>0.370198</x:v>
      </x:c>
      <x:c r="O76" s="1" t="str">
        <x:f>IF(AND(ROUND(F76,6)=M76,ROUND(G76,6)=N76),"PASS","CHECK")</x:f>
        <x:v>PASS</x:v>
      </x:c>
      <x:c r="P76" s="1"/>
    </x:row>
    <x:row r="77">
      <x:c r="A77" s="1" t="str">
        <x:v>Goldman Sachs</x:v>
      </x:c>
      <x:c r="B77" s="1" t="str">
        <x:v>Adverse</x:v>
      </x:c>
      <x:c r="C77" s="1" t="n">
        <x:v>2</x:v>
      </x:c>
      <x:c r="D77" s="14" t="n">
        <x:f>D76+'Assumptions'!C17</x:f>
        <x:v>-0.004</x:v>
      </x:c>
      <x:c r="E77" s="14" t="n">
        <x:f>'Assumptions'!D17</x:f>
        <x:v>0.025</x:v>
      </x:c>
      <x:c r="F77" s="14" t="n">
        <x:f>'Source'!K7+D77</x:f>
        <x:v>0.14067014064555297</x:v>
      </x:c>
      <x:c r="G77" s="14" t="n">
        <x:f>('Source'!F7-'Source'!G7-I77)/'Source'!E7</x:f>
        <x:v>0.3669281683461711</x:v>
      </x:c>
      <x:c r="H77" s="11" t="n">
        <x:f>'Source'!H7-I77</x:f>
        <x:v>542642100</x:v>
      </x:c>
      <x:c r="I77" s="11" t="n">
        <x:f>'Source'!H7*E77</x:f>
        <x:v>13913900</x:v>
      </x:c>
      <x:c r="J77" s="11" t="n">
        <x:f>'Source'!I7*L77</x:f>
        <x:v>3431760</x:v>
      </x:c>
      <x:c r="K77" s="14" t="n">
        <x:f>J77/'Source'!C7</x:f>
        <x:v>0.030002622790299173</x:v>
      </x:c>
      <x:c r="L77" s="14" t="n">
        <x:f>'Assumptions'!E17</x:f>
        <x:v>0.015</x:v>
      </x:c>
      <x:c r="M77" s="14" t="n">
        <x:v>0.14067</x:v>
      </x:c>
      <x:c r="N77" s="14" t="n">
        <x:v>0.366928</x:v>
      </x:c>
      <x:c r="O77" s="1" t="str">
        <x:f>IF(AND(ROUND(F77,6)=M77,ROUND(G77,6)=N77),"PASS","CHECK")</x:f>
        <x:v>PASS</x:v>
      </x:c>
      <x:c r="P77" s="1"/>
    </x:row>
    <x:row r="78">
      <x:c r="A78" s="1" t="str">
        <x:v>Goldman Sachs</x:v>
      </x:c>
      <x:c r="B78" s="1" t="str">
        <x:v>Adverse</x:v>
      </x:c>
      <x:c r="C78" s="1" t="n">
        <x:v>3</x:v>
      </x:c>
      <x:c r="D78" s="14" t="n">
        <x:f>D77+'Assumptions'!C18</x:f>
        <x:v>-0.006</x:v>
      </x:c>
      <x:c r="E78" s="14" t="n">
        <x:f>'Assumptions'!D18</x:f>
        <x:v>0.037500000000000006</x:v>
      </x:c>
      <x:c r="F78" s="14" t="n">
        <x:f>'Source'!K7+D78</x:f>
        <x:v>0.13867014064555297</x:v>
      </x:c>
      <x:c r="G78" s="14" t="n">
        <x:f>('Source'!F7-'Source'!G7-I78)/'Source'!E7</x:f>
        <x:v>0.36365848087451724</x:v>
      </x:c>
      <x:c r="H78" s="11" t="n">
        <x:f>'Source'!H7-I78</x:f>
        <x:v>535685150</x:v>
      </x:c>
      <x:c r="I78" s="11" t="n">
        <x:f>'Source'!H7*E78</x:f>
        <x:v>20870850.000000004</x:v>
      </x:c>
      <x:c r="J78" s="11" t="n">
        <x:f>'Source'!I7*L78</x:f>
        <x:v>5147640</x:v>
      </x:c>
      <x:c r="K78" s="14" t="n">
        <x:f>J78/'Source'!C7</x:f>
        <x:v>0.045003934185448756</x:v>
      </x:c>
      <x:c r="L78" s="14" t="n">
        <x:f>'Assumptions'!E18</x:f>
        <x:v>0.0225</x:v>
      </x:c>
      <x:c r="M78" s="14" t="n">
        <x:v>0.13867</x:v>
      </x:c>
      <x:c r="N78" s="14" t="n">
        <x:v>0.363658</x:v>
      </x:c>
      <x:c r="O78" s="1" t="str">
        <x:f>IF(AND(ROUND(F78,6)=M78,ROUND(G78,6)=N78),"PASS","CHECK")</x:f>
        <x:v>PASS</x:v>
      </x:c>
      <x:c r="P78" s="1"/>
    </x:row>
    <x:row r="79">
      <x:c r="A79" s="1" t="str">
        <x:v>Goldman Sachs</x:v>
      </x:c>
      <x:c r="B79" s="1" t="str">
        <x:v>Adverse</x:v>
      </x:c>
      <x:c r="C79" s="1" t="n">
        <x:v>4</x:v>
      </x:c>
      <x:c r="D79" s="14" t="n">
        <x:f>D78+'Assumptions'!C19</x:f>
        <x:v>-0.008</x:v>
      </x:c>
      <x:c r="E79" s="14" t="n">
        <x:f>'Assumptions'!D19</x:f>
        <x:v>0.05</x:v>
      </x:c>
      <x:c r="F79" s="14" t="n">
        <x:f>'Source'!K7+D79</x:f>
        <x:v>0.13667014064555297</x:v>
      </x:c>
      <x:c r="G79" s="14" t="n">
        <x:f>('Source'!F7-'Source'!G7-I79)/'Source'!E7</x:f>
        <x:v>0.36038879340286345</x:v>
      </x:c>
      <x:c r="H79" s="11" t="n">
        <x:f>'Source'!H7-I79</x:f>
        <x:v>528728200</x:v>
      </x:c>
      <x:c r="I79" s="11" t="n">
        <x:f>'Source'!H7*E79</x:f>
        <x:v>27827800</x:v>
      </x:c>
      <x:c r="J79" s="11" t="n">
        <x:f>'Source'!I7*L79</x:f>
        <x:v>6863520</x:v>
      </x:c>
      <x:c r="K79" s="14" t="n">
        <x:f>J79/'Source'!C7</x:f>
        <x:v>0.060005245580598346</x:v>
      </x:c>
      <x:c r="L79" s="14" t="n">
        <x:f>'Assumptions'!E19</x:f>
        <x:v>0.03</x:v>
      </x:c>
      <x:c r="M79" s="14" t="n">
        <x:v>0.13667</x:v>
      </x:c>
      <x:c r="N79" s="14" t="n">
        <x:v>0.360389</x:v>
      </x:c>
      <x:c r="O79" s="1" t="str">
        <x:f>IF(AND(ROUND(F79,6)=M79,ROUND(G79,6)=N79),"PASS","CHECK")</x:f>
        <x:v>PASS</x:v>
      </x:c>
      <x:c r="P79" s="1"/>
    </x:row>
    <x:row r="80">
      <x:c r="A80" s="1" t="str">
        <x:v>Goldman Sachs</x:v>
      </x:c>
      <x:c r="B80" s="1" t="str">
        <x:v>Adverse</x:v>
      </x:c>
      <x:c r="C80" s="1" t="n">
        <x:v>5</x:v>
      </x:c>
      <x:c r="D80" s="14" t="n">
        <x:f>D79+'Assumptions'!C20</x:f>
        <x:v>-0.01</x:v>
      </x:c>
      <x:c r="E80" s="14" t="n">
        <x:f>'Assumptions'!D20</x:f>
        <x:v>0.05</x:v>
      </x:c>
      <x:c r="F80" s="14" t="n">
        <x:f>'Source'!K7+D80</x:f>
        <x:v>0.13467014064555297</x:v>
      </x:c>
      <x:c r="G80" s="14" t="n">
        <x:f>('Source'!F7-'Source'!G7-I80)/'Source'!E7</x:f>
        <x:v>0.36038879340286345</x:v>
      </x:c>
      <x:c r="H80" s="11" t="n">
        <x:f>'Source'!H7-I80</x:f>
        <x:v>528728200</x:v>
      </x:c>
      <x:c r="I80" s="11" t="n">
        <x:f>'Source'!H7*E80</x:f>
        <x:v>27827800</x:v>
      </x:c>
      <x:c r="J80" s="11" t="n">
        <x:f>'Source'!I7*L80</x:f>
        <x:v>6863520</x:v>
      </x:c>
      <x:c r="K80" s="14" t="n">
        <x:f>J80/'Source'!C7</x:f>
        <x:v>0.060005245580598346</x:v>
      </x:c>
      <x:c r="L80" s="14" t="n">
        <x:f>'Assumptions'!E20</x:f>
        <x:v>0.03</x:v>
      </x:c>
      <x:c r="M80" s="14" t="n">
        <x:v>0.13467</x:v>
      </x:c>
      <x:c r="N80" s="14" t="n">
        <x:v>0.360389</x:v>
      </x:c>
      <x:c r="O80" s="1" t="str">
        <x:f>IF(AND(ROUND(F80,6)=M80,ROUND(G80,6)=N80),"PASS","CHECK")</x:f>
        <x:v>PASS</x:v>
      </x:c>
      <x:c r="P80" s="1"/>
    </x:row>
    <x:row r="81">
      <x:c r="A81" s="1" t="str">
        <x:v>Goldman Sachs</x:v>
      </x:c>
      <x:c r="B81" s="1" t="str">
        <x:v>Adverse</x:v>
      </x:c>
      <x:c r="C81" s="1" t="n">
        <x:v>6</x:v>
      </x:c>
      <x:c r="D81" s="14" t="n">
        <x:f>D80+'Assumptions'!C21</x:f>
        <x:v>-0.01</x:v>
      </x:c>
      <x:c r="E81" s="14" t="n">
        <x:f>'Assumptions'!D21</x:f>
        <x:v>0.05</x:v>
      </x:c>
      <x:c r="F81" s="14" t="n">
        <x:f>'Source'!K7+D81</x:f>
        <x:v>0.13467014064555297</x:v>
      </x:c>
      <x:c r="G81" s="14" t="n">
        <x:f>('Source'!F7-'Source'!G7-I81)/'Source'!E7</x:f>
        <x:v>0.36038879340286345</x:v>
      </x:c>
      <x:c r="H81" s="11" t="n">
        <x:f>'Source'!H7-I81</x:f>
        <x:v>528728200</x:v>
      </x:c>
      <x:c r="I81" s="11" t="n">
        <x:f>'Source'!H7*E81</x:f>
        <x:v>27827800</x:v>
      </x:c>
      <x:c r="J81" s="11" t="n">
        <x:f>'Source'!I7*L81</x:f>
        <x:v>6863520</x:v>
      </x:c>
      <x:c r="K81" s="14" t="n">
        <x:f>J81/'Source'!C7</x:f>
        <x:v>0.060005245580598346</x:v>
      </x:c>
      <x:c r="L81" s="14" t="n">
        <x:f>'Assumptions'!E21</x:f>
        <x:v>0.03</x:v>
      </x:c>
      <x:c r="M81" s="14" t="n">
        <x:v>0.13467</x:v>
      </x:c>
      <x:c r="N81" s="14" t="n">
        <x:v>0.360389</x:v>
      </x:c>
      <x:c r="O81" s="1" t="str">
        <x:f>IF(AND(ROUND(F81,6)=M81,ROUND(G81,6)=N81),"PASS","CHECK")</x:f>
        <x:v>PASS</x:v>
      </x:c>
      <x:c r="P81" s="1"/>
    </x:row>
    <x:row r="82">
      <x:c r="A82" s="1" t="str">
        <x:v>Goldman Sachs</x:v>
      </x:c>
      <x:c r="B82" s="1" t="str">
        <x:v>Adverse</x:v>
      </x:c>
      <x:c r="C82" s="1" t="n">
        <x:v>7</x:v>
      </x:c>
      <x:c r="D82" s="14" t="n">
        <x:f>D81+'Assumptions'!C22</x:f>
        <x:v>-0.01</x:v>
      </x:c>
      <x:c r="E82" s="14" t="n">
        <x:f>'Assumptions'!D22</x:f>
        <x:v>0.05</x:v>
      </x:c>
      <x:c r="F82" s="14" t="n">
        <x:f>'Source'!K7+D82</x:f>
        <x:v>0.13467014064555297</x:v>
      </x:c>
      <x:c r="G82" s="14" t="n">
        <x:f>('Source'!F7-'Source'!G7-I82)/'Source'!E7</x:f>
        <x:v>0.36038879340286345</x:v>
      </x:c>
      <x:c r="H82" s="11" t="n">
        <x:f>'Source'!H7-I82</x:f>
        <x:v>528728200</x:v>
      </x:c>
      <x:c r="I82" s="11" t="n">
        <x:f>'Source'!H7*E82</x:f>
        <x:v>27827800</x:v>
      </x:c>
      <x:c r="J82" s="11" t="n">
        <x:f>'Source'!I7*L82</x:f>
        <x:v>6863520</x:v>
      </x:c>
      <x:c r="K82" s="14" t="n">
        <x:f>J82/'Source'!C7</x:f>
        <x:v>0.060005245580598346</x:v>
      </x:c>
      <x:c r="L82" s="14" t="n">
        <x:f>'Assumptions'!E22</x:f>
        <x:v>0.03</x:v>
      </x:c>
      <x:c r="M82" s="14" t="n">
        <x:v>0.13467</x:v>
      </x:c>
      <x:c r="N82" s="14" t="n">
        <x:v>0.360389</x:v>
      </x:c>
      <x:c r="O82" s="1" t="str">
        <x:f>IF(AND(ROUND(F82,6)=M82,ROUND(G82,6)=N82),"PASS","CHECK")</x:f>
        <x:v>PASS</x:v>
      </x:c>
      <x:c r="P82" s="1"/>
    </x:row>
    <x:row r="83">
      <x:c r="A83" s="1" t="str">
        <x:v>Goldman Sachs</x:v>
      </x:c>
      <x:c r="B83" s="1" t="str">
        <x:v>Adverse</x:v>
      </x:c>
      <x:c r="C83" s="1" t="n">
        <x:v>8</x:v>
      </x:c>
      <x:c r="D83" s="14" t="n">
        <x:f>D82+'Assumptions'!C23</x:f>
        <x:v>-0.01</x:v>
      </x:c>
      <x:c r="E83" s="14" t="n">
        <x:f>'Assumptions'!D23</x:f>
        <x:v>0.05</x:v>
      </x:c>
      <x:c r="F83" s="14" t="n">
        <x:f>'Source'!K7+D83</x:f>
        <x:v>0.13467014064555297</x:v>
      </x:c>
      <x:c r="G83" s="14" t="n">
        <x:f>('Source'!F7-'Source'!G7-I83)/'Source'!E7</x:f>
        <x:v>0.36038879340286345</x:v>
      </x:c>
      <x:c r="H83" s="11" t="n">
        <x:f>'Source'!H7-I83</x:f>
        <x:v>528728200</x:v>
      </x:c>
      <x:c r="I83" s="11" t="n">
        <x:f>'Source'!H7*E83</x:f>
        <x:v>27827800</x:v>
      </x:c>
      <x:c r="J83" s="11" t="n">
        <x:f>'Source'!I7*L83</x:f>
        <x:v>6863520</x:v>
      </x:c>
      <x:c r="K83" s="14" t="n">
        <x:f>J83/'Source'!C7</x:f>
        <x:v>0.060005245580598346</x:v>
      </x:c>
      <x:c r="L83" s="14" t="n">
        <x:f>'Assumptions'!E23</x:f>
        <x:v>0.03</x:v>
      </x:c>
      <x:c r="M83" s="14" t="n">
        <x:v>0.13467</x:v>
      </x:c>
      <x:c r="N83" s="14" t="n">
        <x:v>0.360389</x:v>
      </x:c>
      <x:c r="O83" s="1" t="str">
        <x:f>IF(AND(ROUND(F83,6)=M83,ROUND(G83,6)=N83),"PASS","CHECK")</x:f>
        <x:v>PASS</x:v>
      </x:c>
      <x:c r="P83" s="1"/>
    </x:row>
    <x:row r="84">
      <x:c r="A84" s="1" t="str">
        <x:v>Goldman Sachs</x:v>
      </x:c>
      <x:c r="B84" s="1" t="str">
        <x:v>Adverse</x:v>
      </x:c>
      <x:c r="C84" s="1" t="n">
        <x:v>9</x:v>
      </x:c>
      <x:c r="D84" s="14" t="n">
        <x:f>D83+'Assumptions'!C24</x:f>
        <x:v>-0.01</x:v>
      </x:c>
      <x:c r="E84" s="14" t="n">
        <x:f>'Assumptions'!D24</x:f>
        <x:v>0.05</x:v>
      </x:c>
      <x:c r="F84" s="14" t="n">
        <x:f>'Source'!K7+D84</x:f>
        <x:v>0.13467014064555297</x:v>
      </x:c>
      <x:c r="G84" s="14" t="n">
        <x:f>('Source'!F7-'Source'!G7-I84)/'Source'!E7</x:f>
        <x:v>0.36038879340286345</x:v>
      </x:c>
      <x:c r="H84" s="11" t="n">
        <x:f>'Source'!H7-I84</x:f>
        <x:v>528728200</x:v>
      </x:c>
      <x:c r="I84" s="11" t="n">
        <x:f>'Source'!H7*E84</x:f>
        <x:v>27827800</x:v>
      </x:c>
      <x:c r="J84" s="11" t="n">
        <x:f>'Source'!I7*L84</x:f>
        <x:v>6863520</x:v>
      </x:c>
      <x:c r="K84" s="14" t="n">
        <x:f>J84/'Source'!C7</x:f>
        <x:v>0.060005245580598346</x:v>
      </x:c>
      <x:c r="L84" s="14" t="n">
        <x:f>'Assumptions'!E24</x:f>
        <x:v>0.03</x:v>
      </x:c>
      <x:c r="M84" s="14" t="n">
        <x:v>0.13467</x:v>
      </x:c>
      <x:c r="N84" s="14" t="n">
        <x:v>0.360389</x:v>
      </x:c>
      <x:c r="O84" s="1" t="str">
        <x:f>IF(AND(ROUND(F84,6)=M84,ROUND(G84,6)=N84),"PASS","CHECK")</x:f>
        <x:v>PASS</x:v>
      </x:c>
      <x:c r="P84" s="1"/>
    </x:row>
    <x:row r="85">
      <x:c r="A85" s="1" t="str">
        <x:v>Goldman Sachs</x:v>
      </x:c>
      <x:c r="B85" s="1" t="str">
        <x:v>Severely Adverse</x:v>
      </x:c>
      <x:c r="C85" s="1" t="n">
        <x:v>0</x:v>
      </x:c>
      <x:c r="D85" s="14" t="n">
        <x:f>'Assumptions'!C25</x:f>
        <x:v>0</x:v>
      </x:c>
      <x:c r="E85" s="14" t="n">
        <x:f>'Assumptions'!D25</x:f>
        <x:v>0</x:v>
      </x:c>
      <x:c r="F85" s="14" t="n">
        <x:f>'Source'!K7+D85</x:f>
        <x:v>0.14467014064555297</x:v>
      </x:c>
      <x:c r="G85" s="14" t="n">
        <x:f>('Source'!F7-'Source'!G7-I85)/'Source'!E7</x:f>
        <x:v>0.3734675432894787</x:v>
      </x:c>
      <x:c r="H85" s="11" t="n">
        <x:f>'Source'!H7-I85</x:f>
        <x:v>556556000</x:v>
      </x:c>
      <x:c r="I85" s="11" t="n">
        <x:f>'Source'!H7*E85</x:f>
        <x:v>0</x:v>
      </x:c>
      <x:c r="J85" s="11" t="n">
        <x:f>'Source'!I7*L85</x:f>
        <x:v>0</x:v>
      </x:c>
      <x:c r="K85" s="14" t="n">
        <x:f>J85/'Source'!C7</x:f>
        <x:v>0</x:v>
      </x:c>
      <x:c r="L85" s="14" t="n">
        <x:f>'Assumptions'!E25</x:f>
        <x:v>0</x:v>
      </x:c>
      <x:c r="M85" s="14" t="n">
        <x:v>0.14467</x:v>
      </x:c>
      <x:c r="N85" s="14" t="n">
        <x:v>0.373468</x:v>
      </x:c>
      <x:c r="O85" s="1" t="str">
        <x:f>IF(AND(ROUND(F85,6)=M85,ROUND(G85,6)=N85),"PASS","CHECK")</x:f>
        <x:v>PASS</x:v>
      </x:c>
      <x:c r="P85" s="1"/>
    </x:row>
    <x:row r="86">
      <x:c r="A86" s="1" t="str">
        <x:v>Goldman Sachs</x:v>
      </x:c>
      <x:c r="B86" s="1" t="str">
        <x:v>Severely Adverse</x:v>
      </x:c>
      <x:c r="C86" s="1" t="n">
        <x:v>1</x:v>
      </x:c>
      <x:c r="D86" s="14" t="n">
        <x:f>D85+'Assumptions'!C26</x:f>
        <x:v>-0.006</x:v>
      </x:c>
      <x:c r="E86" s="14" t="n">
        <x:f>'Assumptions'!D26</x:f>
        <x:v>0.075</x:v>
      </x:c>
      <x:c r="F86" s="14" t="n">
        <x:f>'Source'!K7+D86</x:f>
        <x:v>0.13867014064555297</x:v>
      </x:c>
      <x:c r="G86" s="14" t="n">
        <x:f>('Source'!F7-'Source'!G7-I86)/'Source'!E7</x:f>
        <x:v>0.3538494184595558</x:v>
      </x:c>
      <x:c r="H86" s="11" t="n">
        <x:f>'Source'!H7-I86</x:f>
        <x:v>514814300</x:v>
      </x:c>
      <x:c r="I86" s="11" t="n">
        <x:f>'Source'!H7*E86</x:f>
        <x:v>41741700</x:v>
      </x:c>
      <x:c r="J86" s="11" t="n">
        <x:f>'Source'!I7*L86</x:f>
        <x:v>11439200</x:v>
      </x:c>
      <x:c r="K86" s="14" t="n">
        <x:f>J86/'Source'!C7</x:f>
        <x:v>0.10000874263433057</x:v>
      </x:c>
      <x:c r="L86" s="14" t="n">
        <x:f>'Assumptions'!E26</x:f>
        <x:v>0.05</x:v>
      </x:c>
      <x:c r="M86" s="14" t="n">
        <x:v>0.13867</x:v>
      </x:c>
      <x:c r="N86" s="14" t="n">
        <x:v>0.353849</x:v>
      </x:c>
      <x:c r="O86" s="1" t="str">
        <x:f>IF(AND(ROUND(F86,6)=M86,ROUND(G86,6)=N86),"PASS","CHECK")</x:f>
        <x:v>PASS</x:v>
      </x:c>
      <x:c r="P86" s="1"/>
    </x:row>
    <x:row r="87">
      <x:c r="A87" s="1" t="str">
        <x:v>Goldman Sachs</x:v>
      </x:c>
      <x:c r="B87" s="1" t="str">
        <x:v>Severely Adverse</x:v>
      </x:c>
      <x:c r="C87" s="1" t="n">
        <x:v>2</x:v>
      </x:c>
      <x:c r="D87" s="14" t="n">
        <x:f>D86+'Assumptions'!C27</x:f>
        <x:v>-0.011</x:v>
      </x:c>
      <x:c r="E87" s="14" t="n">
        <x:f>'Assumptions'!D27</x:f>
        <x:v>0.15</x:v>
      </x:c>
      <x:c r="F87" s="14" t="n">
        <x:f>'Source'!K7+D87</x:f>
        <x:v>0.13367014064555297</x:v>
      </x:c>
      <x:c r="G87" s="14" t="n">
        <x:f>('Source'!F7-'Source'!G7-I87)/'Source'!E7</x:f>
        <x:v>0.334231293629633</x:v>
      </x:c>
      <x:c r="H87" s="11" t="n">
        <x:f>'Source'!H7-I87</x:f>
        <x:v>473072600</x:v>
      </x:c>
      <x:c r="I87" s="11" t="n">
        <x:f>'Source'!H7*E87</x:f>
        <x:v>83483400</x:v>
      </x:c>
      <x:c r="J87" s="11" t="n">
        <x:f>'Source'!I7*L87</x:f>
        <x:v>22878400</x:v>
      </x:c>
      <x:c r="K87" s="14" t="n">
        <x:f>J87/'Source'!C7</x:f>
        <x:v>0.20001748526866114</x:v>
      </x:c>
      <x:c r="L87" s="14" t="n">
        <x:f>'Assumptions'!E27</x:f>
        <x:v>0.1</x:v>
      </x:c>
      <x:c r="M87" s="14" t="n">
        <x:v>0.13367</x:v>
      </x:c>
      <x:c r="N87" s="14" t="n">
        <x:v>0.334231</x:v>
      </x:c>
      <x:c r="O87" s="1" t="str">
        <x:f>IF(AND(ROUND(F87,6)=M87,ROUND(G87,6)=N87),"PASS","CHECK")</x:f>
        <x:v>PASS</x:v>
      </x:c>
      <x:c r="P87" s="1"/>
    </x:row>
    <x:row r="88">
      <x:c r="A88" s="1" t="str">
        <x:v>Goldman Sachs</x:v>
      </x:c>
      <x:c r="B88" s="1" t="str">
        <x:v>Severely Adverse</x:v>
      </x:c>
      <x:c r="C88" s="1" t="n">
        <x:v>3</x:v>
      </x:c>
      <x:c r="D88" s="14" t="n">
        <x:f>D87+'Assumptions'!C28</x:f>
        <x:v>-0.015</x:v>
      </x:c>
      <x:c r="E88" s="14" t="n">
        <x:f>'Assumptions'!D28</x:f>
        <x:v>0.15</x:v>
      </x:c>
      <x:c r="F88" s="14" t="n">
        <x:f>'Source'!K7+D88</x:f>
        <x:v>0.129670140645553</x:v>
      </x:c>
      <x:c r="G88" s="14" t="n">
        <x:f>('Source'!F7-'Source'!G7-I88)/'Source'!E7</x:f>
        <x:v>0.334231293629633</x:v>
      </x:c>
      <x:c r="H88" s="11" t="n">
        <x:f>'Source'!H7-I88</x:f>
        <x:v>473072600</x:v>
      </x:c>
      <x:c r="I88" s="11" t="n">
        <x:f>'Source'!H7*E88</x:f>
        <x:v>83483400</x:v>
      </x:c>
      <x:c r="J88" s="11" t="n">
        <x:f>'Source'!I7*L88</x:f>
        <x:v>22878400</x:v>
      </x:c>
      <x:c r="K88" s="14" t="n">
        <x:f>J88/'Source'!C7</x:f>
        <x:v>0.20001748526866114</x:v>
      </x:c>
      <x:c r="L88" s="14" t="n">
        <x:f>'Assumptions'!E28</x:f>
        <x:v>0.1</x:v>
      </x:c>
      <x:c r="M88" s="14" t="n">
        <x:v>0.12967</x:v>
      </x:c>
      <x:c r="N88" s="14" t="n">
        <x:v>0.334231</x:v>
      </x:c>
      <x:c r="O88" s="1" t="str">
        <x:f>IF(AND(ROUND(F88,6)=M88,ROUND(G88,6)=N88),"PASS","CHECK")</x:f>
        <x:v>PASS</x:v>
      </x:c>
      <x:c r="P88" s="1"/>
    </x:row>
    <x:row r="89">
      <x:c r="A89" s="1" t="str">
        <x:v>Goldman Sachs</x:v>
      </x:c>
      <x:c r="B89" s="1" t="str">
        <x:v>Severely Adverse</x:v>
      </x:c>
      <x:c r="C89" s="1" t="n">
        <x:v>4</x:v>
      </x:c>
      <x:c r="D89" s="14" t="n">
        <x:f>D88+'Assumptions'!C29</x:f>
        <x:v>-0.018</x:v>
      </x:c>
      <x:c r="E89" s="14" t="n">
        <x:f>'Assumptions'!D29</x:f>
        <x:v>0.15</x:v>
      </x:c>
      <x:c r="F89" s="14" t="n">
        <x:f>'Source'!K7+D89</x:f>
        <x:v>0.126670140645553</x:v>
      </x:c>
      <x:c r="G89" s="14" t="n">
        <x:f>('Source'!F7-'Source'!G7-I89)/'Source'!E7</x:f>
        <x:v>0.334231293629633</x:v>
      </x:c>
      <x:c r="H89" s="11" t="n">
        <x:f>'Source'!H7-I89</x:f>
        <x:v>473072600</x:v>
      </x:c>
      <x:c r="I89" s="11" t="n">
        <x:f>'Source'!H7*E89</x:f>
        <x:v>83483400</x:v>
      </x:c>
      <x:c r="J89" s="11" t="n">
        <x:f>'Source'!I7*L89</x:f>
        <x:v>22878400</x:v>
      </x:c>
      <x:c r="K89" s="14" t="n">
        <x:f>J89/'Source'!C7</x:f>
        <x:v>0.20001748526866114</x:v>
      </x:c>
      <x:c r="L89" s="14" t="n">
        <x:f>'Assumptions'!E29</x:f>
        <x:v>0.1</x:v>
      </x:c>
      <x:c r="M89" s="14" t="n">
        <x:v>0.12667</x:v>
      </x:c>
      <x:c r="N89" s="14" t="n">
        <x:v>0.334231</x:v>
      </x:c>
      <x:c r="O89" s="1" t="str">
        <x:f>IF(AND(ROUND(F89,6)=M89,ROUND(G89,6)=N89),"PASS","CHECK")</x:f>
        <x:v>PASS</x:v>
      </x:c>
      <x:c r="P89" s="1"/>
    </x:row>
    <x:row r="90">
      <x:c r="A90" s="1" t="str">
        <x:v>Goldman Sachs</x:v>
      </x:c>
      <x:c r="B90" s="1" t="str">
        <x:v>Severely Adverse</x:v>
      </x:c>
      <x:c r="C90" s="1" t="n">
        <x:v>5</x:v>
      </x:c>
      <x:c r="D90" s="14" t="n">
        <x:f>D89+'Assumptions'!C30</x:f>
        <x:v>-0.016999999999999998</x:v>
      </x:c>
      <x:c r="E90" s="14" t="n">
        <x:f>'Assumptions'!D30</x:f>
        <x:v>0.15</x:v>
      </x:c>
      <x:c r="F90" s="14" t="n">
        <x:f>'Source'!K7+D90</x:f>
        <x:v>0.127670140645553</x:v>
      </x:c>
      <x:c r="G90" s="14" t="n">
        <x:f>('Source'!F7-'Source'!G7-I90)/'Source'!E7</x:f>
        <x:v>0.334231293629633</x:v>
      </x:c>
      <x:c r="H90" s="11" t="n">
        <x:f>'Source'!H7-I90</x:f>
        <x:v>473072600</x:v>
      </x:c>
      <x:c r="I90" s="11" t="n">
        <x:f>'Source'!H7*E90</x:f>
        <x:v>83483400</x:v>
      </x:c>
      <x:c r="J90" s="11" t="n">
        <x:f>'Source'!I7*L90</x:f>
        <x:v>22878400</x:v>
      </x:c>
      <x:c r="K90" s="14" t="n">
        <x:f>J90/'Source'!C7</x:f>
        <x:v>0.20001748526866114</x:v>
      </x:c>
      <x:c r="L90" s="14" t="n">
        <x:f>'Assumptions'!E30</x:f>
        <x:v>0.1</x:v>
      </x:c>
      <x:c r="M90" s="14" t="n">
        <x:v>0.12767</x:v>
      </x:c>
      <x:c r="N90" s="14" t="n">
        <x:v>0.334231</x:v>
      </x:c>
      <x:c r="O90" s="1" t="str">
        <x:f>IF(AND(ROUND(F90,6)=M90,ROUND(G90,6)=N90),"PASS","CHECK")</x:f>
        <x:v>PASS</x:v>
      </x:c>
      <x:c r="P90" s="1"/>
    </x:row>
    <x:row r="91">
      <x:c r="A91" s="1" t="str">
        <x:v>Goldman Sachs</x:v>
      </x:c>
      <x:c r="B91" s="1" t="str">
        <x:v>Severely Adverse</x:v>
      </x:c>
      <x:c r="C91" s="1" t="n">
        <x:v>6</x:v>
      </x:c>
      <x:c r="D91" s="14" t="n">
        <x:f>D90+'Assumptions'!C31</x:f>
        <x:v>-0.015999999999999997</x:v>
      </x:c>
      <x:c r="E91" s="14" t="n">
        <x:f>'Assumptions'!D31</x:f>
        <x:v>0.15</x:v>
      </x:c>
      <x:c r="F91" s="14" t="n">
        <x:f>'Source'!K7+D91</x:f>
        <x:v>0.128670140645553</x:v>
      </x:c>
      <x:c r="G91" s="14" t="n">
        <x:f>('Source'!F7-'Source'!G7-I91)/'Source'!E7</x:f>
        <x:v>0.334231293629633</x:v>
      </x:c>
      <x:c r="H91" s="11" t="n">
        <x:f>'Source'!H7-I91</x:f>
        <x:v>473072600</x:v>
      </x:c>
      <x:c r="I91" s="11" t="n">
        <x:f>'Source'!H7*E91</x:f>
        <x:v>83483400</x:v>
      </x:c>
      <x:c r="J91" s="11" t="n">
        <x:f>'Source'!I7*L91</x:f>
        <x:v>22878400</x:v>
      </x:c>
      <x:c r="K91" s="14" t="n">
        <x:f>J91/'Source'!C7</x:f>
        <x:v>0.20001748526866114</x:v>
      </x:c>
      <x:c r="L91" s="14" t="n">
        <x:f>'Assumptions'!E31</x:f>
        <x:v>0.1</x:v>
      </x:c>
      <x:c r="M91" s="14" t="n">
        <x:v>0.12867</x:v>
      </x:c>
      <x:c r="N91" s="14" t="n">
        <x:v>0.334231</x:v>
      </x:c>
      <x:c r="O91" s="1" t="str">
        <x:f>IF(AND(ROUND(F91,6)=M91,ROUND(G91,6)=N91),"PASS","CHECK")</x:f>
        <x:v>PASS</x:v>
      </x:c>
      <x:c r="P91" s="1"/>
    </x:row>
    <x:row r="92">
      <x:c r="A92" s="1" t="str">
        <x:v>Goldman Sachs</x:v>
      </x:c>
      <x:c r="B92" s="1" t="str">
        <x:v>Severely Adverse</x:v>
      </x:c>
      <x:c r="C92" s="1" t="n">
        <x:v>7</x:v>
      </x:c>
      <x:c r="D92" s="14" t="n">
        <x:f>D91+'Assumptions'!C32</x:f>
        <x:v>-0.014999999999999996</x:v>
      </x:c>
      <x:c r="E92" s="14" t="n">
        <x:f>'Assumptions'!D32</x:f>
        <x:v>0.15</x:v>
      </x:c>
      <x:c r="F92" s="14" t="n">
        <x:f>'Source'!K7+D92</x:f>
        <x:v>0.129670140645553</x:v>
      </x:c>
      <x:c r="G92" s="14" t="n">
        <x:f>('Source'!F7-'Source'!G7-I92)/'Source'!E7</x:f>
        <x:v>0.334231293629633</x:v>
      </x:c>
      <x:c r="H92" s="11" t="n">
        <x:f>'Source'!H7-I92</x:f>
        <x:v>473072600</x:v>
      </x:c>
      <x:c r="I92" s="11" t="n">
        <x:f>'Source'!H7*E92</x:f>
        <x:v>83483400</x:v>
      </x:c>
      <x:c r="J92" s="11" t="n">
        <x:f>'Source'!I7*L92</x:f>
        <x:v>22878400</x:v>
      </x:c>
      <x:c r="K92" s="14" t="n">
        <x:f>J92/'Source'!C7</x:f>
        <x:v>0.20001748526866114</x:v>
      </x:c>
      <x:c r="L92" s="14" t="n">
        <x:f>'Assumptions'!E32</x:f>
        <x:v>0.1</x:v>
      </x:c>
      <x:c r="M92" s="14" t="n">
        <x:v>0.12967</x:v>
      </x:c>
      <x:c r="N92" s="14" t="n">
        <x:v>0.334231</x:v>
      </x:c>
      <x:c r="O92" s="1" t="str">
        <x:f>IF(AND(ROUND(F92,6)=M92,ROUND(G92,6)=N92),"PASS","CHECK")</x:f>
        <x:v>PASS</x:v>
      </x:c>
      <x:c r="P92" s="1"/>
    </x:row>
    <x:row r="93">
      <x:c r="A93" s="1" t="str">
        <x:v>Goldman Sachs</x:v>
      </x:c>
      <x:c r="B93" s="1" t="str">
        <x:v>Severely Adverse</x:v>
      </x:c>
      <x:c r="C93" s="1" t="n">
        <x:v>8</x:v>
      </x:c>
      <x:c r="D93" s="14" t="n">
        <x:f>D92+'Assumptions'!C33</x:f>
        <x:v>-0.013999999999999995</x:v>
      </x:c>
      <x:c r="E93" s="14" t="n">
        <x:f>'Assumptions'!D33</x:f>
        <x:v>0.15</x:v>
      </x:c>
      <x:c r="F93" s="14" t="n">
        <x:f>'Source'!K7+D93</x:f>
        <x:v>0.130670140645553</x:v>
      </x:c>
      <x:c r="G93" s="14" t="n">
        <x:f>('Source'!F7-'Source'!G7-I93)/'Source'!E7</x:f>
        <x:v>0.334231293629633</x:v>
      </x:c>
      <x:c r="H93" s="11" t="n">
        <x:f>'Source'!H7-I93</x:f>
        <x:v>473072600</x:v>
      </x:c>
      <x:c r="I93" s="11" t="n">
        <x:f>'Source'!H7*E93</x:f>
        <x:v>83483400</x:v>
      </x:c>
      <x:c r="J93" s="11" t="n">
        <x:f>'Source'!I7*L93</x:f>
        <x:v>22878400</x:v>
      </x:c>
      <x:c r="K93" s="14" t="n">
        <x:f>J93/'Source'!C7</x:f>
        <x:v>0.20001748526866114</x:v>
      </x:c>
      <x:c r="L93" s="14" t="n">
        <x:f>'Assumptions'!E33</x:f>
        <x:v>0.1</x:v>
      </x:c>
      <x:c r="M93" s="14" t="n">
        <x:v>0.13067</x:v>
      </x:c>
      <x:c r="N93" s="14" t="n">
        <x:v>0.334231</x:v>
      </x:c>
      <x:c r="O93" s="1" t="str">
        <x:f>IF(AND(ROUND(F93,6)=M93,ROUND(G93,6)=N93),"PASS","CHECK")</x:f>
        <x:v>PASS</x:v>
      </x:c>
      <x:c r="P93" s="1"/>
    </x:row>
    <x:row r="94">
      <x:c r="A94" s="1" t="str">
        <x:v>Goldman Sachs</x:v>
      </x:c>
      <x:c r="B94" s="1" t="str">
        <x:v>Severely Adverse</x:v>
      </x:c>
      <x:c r="C94" s="1" t="n">
        <x:v>9</x:v>
      </x:c>
      <x:c r="D94" s="14" t="n">
        <x:f>D93+'Assumptions'!C34</x:f>
        <x:v>-0.012999999999999994</x:v>
      </x:c>
      <x:c r="E94" s="14" t="n">
        <x:f>'Assumptions'!D34</x:f>
        <x:v>0.15</x:v>
      </x:c>
      <x:c r="F94" s="14" t="n">
        <x:f>'Source'!K7+D94</x:f>
        <x:v>0.131670140645553</x:v>
      </x:c>
      <x:c r="G94" s="14" t="n">
        <x:f>('Source'!F7-'Source'!G7-I94)/'Source'!E7</x:f>
        <x:v>0.334231293629633</x:v>
      </x:c>
      <x:c r="H94" s="11" t="n">
        <x:f>'Source'!H7-I94</x:f>
        <x:v>473072600</x:v>
      </x:c>
      <x:c r="I94" s="11" t="n">
        <x:f>'Source'!H7*E94</x:f>
        <x:v>83483400</x:v>
      </x:c>
      <x:c r="J94" s="11" t="n">
        <x:f>'Source'!I7*L94</x:f>
        <x:v>22878400</x:v>
      </x:c>
      <x:c r="K94" s="14" t="n">
        <x:f>J94/'Source'!C7</x:f>
        <x:v>0.20001748526866114</x:v>
      </x:c>
      <x:c r="L94" s="14" t="n">
        <x:f>'Assumptions'!E34</x:f>
        <x:v>0.1</x:v>
      </x:c>
      <x:c r="M94" s="14" t="n">
        <x:v>0.13167</x:v>
      </x:c>
      <x:c r="N94" s="14" t="n">
        <x:v>0.334231</x:v>
      </x:c>
      <x:c r="O94" s="1" t="str">
        <x:f>IF(AND(ROUND(F94,6)=M94,ROUND(G94,6)=N94),"PASS","CHECK")</x:f>
        <x:v>PASS</x:v>
      </x:c>
      <x:c r="P94" s="1"/>
    </x:row>
    <x:row r="95">
      <x:c r="A95" s="1" t="str">
        <x:v>JPMorgan Chase</x:v>
      </x:c>
      <x:c r="B95" s="1" t="str">
        <x:v>Baseline</x:v>
      </x:c>
      <x:c r="C95" s="1" t="n">
        <x:v>0</x:v>
      </x:c>
      <x:c r="D95" s="14" t="n">
        <x:f>'Assumptions'!C5</x:f>
        <x:v>0</x:v>
      </x:c>
      <x:c r="E95" s="14" t="n">
        <x:f>'Assumptions'!D5</x:f>
        <x:v>0</x:v>
      </x:c>
      <x:c r="F95" s="14" t="n">
        <x:f>'Source'!K8+D95</x:f>
        <x:v>0.15133924268088156</x:v>
      </x:c>
      <x:c r="G95" s="14" t="n">
        <x:f>('Source'!F8-'Source'!G8-I95)/'Source'!E8</x:f>
        <x:v>0.29675344446905916</x:v>
      </x:c>
      <x:c r="H95" s="11" t="n">
        <x:f>'Source'!H8-I95</x:f>
        <x:v>2713700000</x:v>
      </x:c>
      <x:c r="I95" s="11" t="n">
        <x:f>'Source'!H8*E95</x:f>
        <x:v>0</x:v>
      </x:c>
      <x:c r="J95" s="11" t="n">
        <x:f>'Source'!I8*L95</x:f>
        <x:v>0</x:v>
      </x:c>
      <x:c r="K95" s="14" t="n">
        <x:f>J95/'Source'!C8</x:f>
        <x:v>0</x:v>
      </x:c>
      <x:c r="L95" s="14" t="n">
        <x:f>'Assumptions'!E5</x:f>
        <x:v>0</x:v>
      </x:c>
      <x:c r="M95" s="14" t="n">
        <x:v>0.151339</x:v>
      </x:c>
      <x:c r="N95" s="14" t="n">
        <x:v>0.296753</x:v>
      </x:c>
      <x:c r="O95" s="1" t="str">
        <x:f>IF(AND(ROUND(F95,6)=M95,ROUND(G95,6)=N95),"PASS","CHECK")</x:f>
        <x:v>PASS</x:v>
      </x:c>
      <x:c r="P95" s="1"/>
    </x:row>
    <x:row r="96">
      <x:c r="A96" s="1" t="str">
        <x:v>JPMorgan Chase</x:v>
      </x:c>
      <x:c r="B96" s="1" t="str">
        <x:v>Baseline</x:v>
      </x:c>
      <x:c r="C96" s="1" t="n">
        <x:v>1</x:v>
      </x:c>
      <x:c r="D96" s="14" t="n">
        <x:f>D95+'Assumptions'!C6</x:f>
        <x:v>0.0003333333333333333</x:v>
      </x:c>
      <x:c r="E96" s="14" t="n">
        <x:f>'Assumptions'!D6</x:f>
        <x:v>0</x:v>
      </x:c>
      <x:c r="F96" s="14" t="n">
        <x:f>'Source'!K8+D96</x:f>
        <x:v>0.15167257601421488</x:v>
      </x:c>
      <x:c r="G96" s="14" t="n">
        <x:f>('Source'!F8-'Source'!G8-I96)/'Source'!E8</x:f>
        <x:v>0.29675344446905916</x:v>
      </x:c>
      <x:c r="H96" s="11" t="n">
        <x:f>'Source'!H8-I96</x:f>
        <x:v>2713700000</x:v>
      </x:c>
      <x:c r="I96" s="11" t="n">
        <x:f>'Source'!H8*E96</x:f>
        <x:v>0</x:v>
      </x:c>
      <x:c r="J96" s="11" t="n">
        <x:f>'Source'!I8*L96</x:f>
        <x:v>0</x:v>
      </x:c>
      <x:c r="K96" s="14" t="n">
        <x:f>J96/'Source'!C8</x:f>
        <x:v>0</x:v>
      </x:c>
      <x:c r="L96" s="14" t="n">
        <x:f>'Assumptions'!E6</x:f>
        <x:v>0</x:v>
      </x:c>
      <x:c r="M96" s="14" t="n">
        <x:v>0.151673</x:v>
      </x:c>
      <x:c r="N96" s="14" t="n">
        <x:v>0.296753</x:v>
      </x:c>
      <x:c r="O96" s="1" t="str">
        <x:f>IF(AND(ROUND(F96,6)=M96,ROUND(G96,6)=N96),"PASS","CHECK")</x:f>
        <x:v>PASS</x:v>
      </x:c>
      <x:c r="P96" s="1"/>
    </x:row>
    <x:row r="97">
      <x:c r="A97" s="1" t="str">
        <x:v>JPMorgan Chase</x:v>
      </x:c>
      <x:c r="B97" s="1" t="str">
        <x:v>Baseline</x:v>
      </x:c>
      <x:c r="C97" s="1" t="n">
        <x:v>2</x:v>
      </x:c>
      <x:c r="D97" s="14" t="n">
        <x:f>D96+'Assumptions'!C7</x:f>
        <x:v>0.0006666666666666666</x:v>
      </x:c>
      <x:c r="E97" s="14" t="n">
        <x:f>'Assumptions'!D7</x:f>
        <x:v>0</x:v>
      </x:c>
      <x:c r="F97" s="14" t="n">
        <x:f>'Source'!K8+D97</x:f>
        <x:v>0.15200590934754823</x:v>
      </x:c>
      <x:c r="G97" s="14" t="n">
        <x:f>('Source'!F8-'Source'!G8-I97)/'Source'!E8</x:f>
        <x:v>0.29675344446905916</x:v>
      </x:c>
      <x:c r="H97" s="11" t="n">
        <x:f>'Source'!H8-I97</x:f>
        <x:v>2713700000</x:v>
      </x:c>
      <x:c r="I97" s="11" t="n">
        <x:f>'Source'!H8*E97</x:f>
        <x:v>0</x:v>
      </x:c>
      <x:c r="J97" s="11" t="n">
        <x:f>'Source'!I8*L97</x:f>
        <x:v>0</x:v>
      </x:c>
      <x:c r="K97" s="14" t="n">
        <x:f>J97/'Source'!C8</x:f>
        <x:v>0</x:v>
      </x:c>
      <x:c r="L97" s="14" t="n">
        <x:f>'Assumptions'!E7</x:f>
        <x:v>0</x:v>
      </x:c>
      <x:c r="M97" s="14" t="n">
        <x:v>0.152006</x:v>
      </x:c>
      <x:c r="N97" s="14" t="n">
        <x:v>0.296753</x:v>
      </x:c>
      <x:c r="O97" s="1" t="str">
        <x:f>IF(AND(ROUND(F97,6)=M97,ROUND(G97,6)=N97),"PASS","CHECK")</x:f>
        <x:v>PASS</x:v>
      </x:c>
      <x:c r="P97" s="1"/>
    </x:row>
    <x:row r="98">
      <x:c r="A98" s="1" t="str">
        <x:v>JPMorgan Chase</x:v>
      </x:c>
      <x:c r="B98" s="1" t="str">
        <x:v>Baseline</x:v>
      </x:c>
      <x:c r="C98" s="1" t="n">
        <x:v>3</x:v>
      </x:c>
      <x:c r="D98" s="14" t="n">
        <x:f>D97+'Assumptions'!C8</x:f>
        <x:v>0.001</x:v>
      </x:c>
      <x:c r="E98" s="14" t="n">
        <x:f>'Assumptions'!D8</x:f>
        <x:v>0</x:v>
      </x:c>
      <x:c r="F98" s="14" t="n">
        <x:f>'Source'!K8+D98</x:f>
        <x:v>0.15233924268088156</x:v>
      </x:c>
      <x:c r="G98" s="14" t="n">
        <x:f>('Source'!F8-'Source'!G8-I98)/'Source'!E8</x:f>
        <x:v>0.29675344446905916</x:v>
      </x:c>
      <x:c r="H98" s="11" t="n">
        <x:f>'Source'!H8-I98</x:f>
        <x:v>2713700000</x:v>
      </x:c>
      <x:c r="I98" s="11" t="n">
        <x:f>'Source'!H8*E98</x:f>
        <x:v>0</x:v>
      </x:c>
      <x:c r="J98" s="11" t="n">
        <x:f>'Source'!I8*L98</x:f>
        <x:v>0</x:v>
      </x:c>
      <x:c r="K98" s="14" t="n">
        <x:f>J98/'Source'!C8</x:f>
        <x:v>0</x:v>
      </x:c>
      <x:c r="L98" s="14" t="n">
        <x:f>'Assumptions'!E8</x:f>
        <x:v>0</x:v>
      </x:c>
      <x:c r="M98" s="14" t="n">
        <x:v>0.152339</x:v>
      </x:c>
      <x:c r="N98" s="14" t="n">
        <x:v>0.296753</x:v>
      </x:c>
      <x:c r="O98" s="1" t="str">
        <x:f>IF(AND(ROUND(F98,6)=M98,ROUND(G98,6)=N98),"PASS","CHECK")</x:f>
        <x:v>PASS</x:v>
      </x:c>
      <x:c r="P98" s="1"/>
    </x:row>
    <x:row r="99">
      <x:c r="A99" s="1" t="str">
        <x:v>JPMorgan Chase</x:v>
      </x:c>
      <x:c r="B99" s="1" t="str">
        <x:v>Baseline</x:v>
      </x:c>
      <x:c r="C99" s="1" t="n">
        <x:v>4</x:v>
      </x:c>
      <x:c r="D99" s="14" t="n">
        <x:f>D98+'Assumptions'!C9</x:f>
        <x:v>0.0013333333333333333</x:v>
      </x:c>
      <x:c r="E99" s="14" t="n">
        <x:f>'Assumptions'!D9</x:f>
        <x:v>0</x:v>
      </x:c>
      <x:c r="F99" s="14" t="n">
        <x:f>'Source'!K8+D99</x:f>
        <x:v>0.15267257601421488</x:v>
      </x:c>
      <x:c r="G99" s="14" t="n">
        <x:f>('Source'!F8-'Source'!G8-I99)/'Source'!E8</x:f>
        <x:v>0.29675344446905916</x:v>
      </x:c>
      <x:c r="H99" s="11" t="n">
        <x:f>'Source'!H8-I99</x:f>
        <x:v>2713700000</x:v>
      </x:c>
      <x:c r="I99" s="11" t="n">
        <x:f>'Source'!H8*E99</x:f>
        <x:v>0</x:v>
      </x:c>
      <x:c r="J99" s="11" t="n">
        <x:f>'Source'!I8*L99</x:f>
        <x:v>0</x:v>
      </x:c>
      <x:c r="K99" s="14" t="n">
        <x:f>J99/'Source'!C8</x:f>
        <x:v>0</x:v>
      </x:c>
      <x:c r="L99" s="14" t="n">
        <x:f>'Assumptions'!E9</x:f>
        <x:v>0</x:v>
      </x:c>
      <x:c r="M99" s="14" t="n">
        <x:v>0.152673</x:v>
      </x:c>
      <x:c r="N99" s="14" t="n">
        <x:v>0.296753</x:v>
      </x:c>
      <x:c r="O99" s="1" t="str">
        <x:f>IF(AND(ROUND(F99,6)=M99,ROUND(G99,6)=N99),"PASS","CHECK")</x:f>
        <x:v>PASS</x:v>
      </x:c>
      <x:c r="P99" s="1"/>
    </x:row>
    <x:row r="100">
      <x:c r="A100" s="1" t="str">
        <x:v>JPMorgan Chase</x:v>
      </x:c>
      <x:c r="B100" s="1" t="str">
        <x:v>Baseline</x:v>
      </x:c>
      <x:c r="C100" s="1" t="n">
        <x:v>5</x:v>
      </x:c>
      <x:c r="D100" s="14" t="n">
        <x:f>D99+'Assumptions'!C10</x:f>
        <x:v>0.0016666666666666666</x:v>
      </x:c>
      <x:c r="E100" s="14" t="n">
        <x:f>'Assumptions'!D10</x:f>
        <x:v>0</x:v>
      </x:c>
      <x:c r="F100" s="14" t="n">
        <x:f>'Source'!K8+D100</x:f>
        <x:v>0.15300590934754824</x:v>
      </x:c>
      <x:c r="G100" s="14" t="n">
        <x:f>('Source'!F8-'Source'!G8-I100)/'Source'!E8</x:f>
        <x:v>0.29675344446905916</x:v>
      </x:c>
      <x:c r="H100" s="11" t="n">
        <x:f>'Source'!H8-I100</x:f>
        <x:v>2713700000</x:v>
      </x:c>
      <x:c r="I100" s="11" t="n">
        <x:f>'Source'!H8*E100</x:f>
        <x:v>0</x:v>
      </x:c>
      <x:c r="J100" s="11" t="n">
        <x:f>'Source'!I8*L100</x:f>
        <x:v>0</x:v>
      </x:c>
      <x:c r="K100" s="14" t="n">
        <x:f>J100/'Source'!C8</x:f>
        <x:v>0</x:v>
      </x:c>
      <x:c r="L100" s="14" t="n">
        <x:f>'Assumptions'!E10</x:f>
        <x:v>0</x:v>
      </x:c>
      <x:c r="M100" s="14" t="n">
        <x:v>0.153006</x:v>
      </x:c>
      <x:c r="N100" s="14" t="n">
        <x:v>0.296753</x:v>
      </x:c>
      <x:c r="O100" s="1" t="str">
        <x:f>IF(AND(ROUND(F100,6)=M100,ROUND(G100,6)=N100),"PASS","CHECK")</x:f>
        <x:v>PASS</x:v>
      </x:c>
      <x:c r="P100" s="1"/>
    </x:row>
    <x:row r="101">
      <x:c r="A101" s="1" t="str">
        <x:v>JPMorgan Chase</x:v>
      </x:c>
      <x:c r="B101" s="1" t="str">
        <x:v>Baseline</x:v>
      </x:c>
      <x:c r="C101" s="1" t="n">
        <x:v>6</x:v>
      </x:c>
      <x:c r="D101" s="14" t="n">
        <x:f>D100+'Assumptions'!C11</x:f>
        <x:v>0.002</x:v>
      </x:c>
      <x:c r="E101" s="14" t="n">
        <x:f>'Assumptions'!D11</x:f>
        <x:v>0</x:v>
      </x:c>
      <x:c r="F101" s="14" t="n">
        <x:f>'Source'!K8+D101</x:f>
        <x:v>0.15333924268088156</x:v>
      </x:c>
      <x:c r="G101" s="14" t="n">
        <x:f>('Source'!F8-'Source'!G8-I101)/'Source'!E8</x:f>
        <x:v>0.29675344446905916</x:v>
      </x:c>
      <x:c r="H101" s="11" t="n">
        <x:f>'Source'!H8-I101</x:f>
        <x:v>2713700000</x:v>
      </x:c>
      <x:c r="I101" s="11" t="n">
        <x:f>'Source'!H8*E101</x:f>
        <x:v>0</x:v>
      </x:c>
      <x:c r="J101" s="11" t="n">
        <x:f>'Source'!I8*L101</x:f>
        <x:v>0</x:v>
      </x:c>
      <x:c r="K101" s="14" t="n">
        <x:f>J101/'Source'!C8</x:f>
        <x:v>0</x:v>
      </x:c>
      <x:c r="L101" s="14" t="n">
        <x:f>'Assumptions'!E11</x:f>
        <x:v>0</x:v>
      </x:c>
      <x:c r="M101" s="14" t="n">
        <x:v>0.153339</x:v>
      </x:c>
      <x:c r="N101" s="14" t="n">
        <x:v>0.296753</x:v>
      </x:c>
      <x:c r="O101" s="1" t="str">
        <x:f>IF(AND(ROUND(F101,6)=M101,ROUND(G101,6)=N101),"PASS","CHECK")</x:f>
        <x:v>PASS</x:v>
      </x:c>
      <x:c r="P101" s="1"/>
    </x:row>
    <x:row r="102">
      <x:c r="A102" s="1" t="str">
        <x:v>JPMorgan Chase</x:v>
      </x:c>
      <x:c r="B102" s="1" t="str">
        <x:v>Baseline</x:v>
      </x:c>
      <x:c r="C102" s="1" t="n">
        <x:v>7</x:v>
      </x:c>
      <x:c r="D102" s="14" t="n">
        <x:f>D101+'Assumptions'!C12</x:f>
        <x:v>0.0023333333333333335</x:v>
      </x:c>
      <x:c r="E102" s="14" t="n">
        <x:f>'Assumptions'!D12</x:f>
        <x:v>0</x:v>
      </x:c>
      <x:c r="F102" s="14" t="n">
        <x:f>'Source'!K8+D102</x:f>
        <x:v>0.15367257601421488</x:v>
      </x:c>
      <x:c r="G102" s="14" t="n">
        <x:f>('Source'!F8-'Source'!G8-I102)/'Source'!E8</x:f>
        <x:v>0.29675344446905916</x:v>
      </x:c>
      <x:c r="H102" s="11" t="n">
        <x:f>'Source'!H8-I102</x:f>
        <x:v>2713700000</x:v>
      </x:c>
      <x:c r="I102" s="11" t="n">
        <x:f>'Source'!H8*E102</x:f>
        <x:v>0</x:v>
      </x:c>
      <x:c r="J102" s="11" t="n">
        <x:f>'Source'!I8*L102</x:f>
        <x:v>0</x:v>
      </x:c>
      <x:c r="K102" s="14" t="n">
        <x:f>J102/'Source'!C8</x:f>
        <x:v>0</x:v>
      </x:c>
      <x:c r="L102" s="14" t="n">
        <x:f>'Assumptions'!E12</x:f>
        <x:v>0</x:v>
      </x:c>
      <x:c r="M102" s="14" t="n">
        <x:v>0.153673</x:v>
      </x:c>
      <x:c r="N102" s="14" t="n">
        <x:v>0.296753</x:v>
      </x:c>
      <x:c r="O102" s="1" t="str">
        <x:f>IF(AND(ROUND(F102,6)=M102,ROUND(G102,6)=N102),"PASS","CHECK")</x:f>
        <x:v>PASS</x:v>
      </x:c>
      <x:c r="P102" s="1"/>
    </x:row>
    <x:row r="103">
      <x:c r="A103" s="1" t="str">
        <x:v>JPMorgan Chase</x:v>
      </x:c>
      <x:c r="B103" s="1" t="str">
        <x:v>Baseline</x:v>
      </x:c>
      <x:c r="C103" s="1" t="n">
        <x:v>8</x:v>
      </x:c>
      <x:c r="D103" s="14" t="n">
        <x:f>D102+'Assumptions'!C13</x:f>
        <x:v>0.002666666666666667</x:v>
      </x:c>
      <x:c r="E103" s="14" t="n">
        <x:f>'Assumptions'!D13</x:f>
        <x:v>0</x:v>
      </x:c>
      <x:c r="F103" s="14" t="n">
        <x:f>'Source'!K8+D103</x:f>
        <x:v>0.15400590934754824</x:v>
      </x:c>
      <x:c r="G103" s="14" t="n">
        <x:f>('Source'!F8-'Source'!G8-I103)/'Source'!E8</x:f>
        <x:v>0.29675344446905916</x:v>
      </x:c>
      <x:c r="H103" s="11" t="n">
        <x:f>'Source'!H8-I103</x:f>
        <x:v>2713700000</x:v>
      </x:c>
      <x:c r="I103" s="11" t="n">
        <x:f>'Source'!H8*E103</x:f>
        <x:v>0</x:v>
      </x:c>
      <x:c r="J103" s="11" t="n">
        <x:f>'Source'!I8*L103</x:f>
        <x:v>0</x:v>
      </x:c>
      <x:c r="K103" s="14" t="n">
        <x:f>J103/'Source'!C8</x:f>
        <x:v>0</x:v>
      </x:c>
      <x:c r="L103" s="14" t="n">
        <x:f>'Assumptions'!E13</x:f>
        <x:v>0</x:v>
      </x:c>
      <x:c r="M103" s="14" t="n">
        <x:v>0.154006</x:v>
      </x:c>
      <x:c r="N103" s="14" t="n">
        <x:v>0.296753</x:v>
      </x:c>
      <x:c r="O103" s="1" t="str">
        <x:f>IF(AND(ROUND(F103,6)=M103,ROUND(G103,6)=N103),"PASS","CHECK")</x:f>
        <x:v>PASS</x:v>
      </x:c>
      <x:c r="P103" s="1"/>
    </x:row>
    <x:row r="104">
      <x:c r="A104" s="1" t="str">
        <x:v>JPMorgan Chase</x:v>
      </x:c>
      <x:c r="B104" s="1" t="str">
        <x:v>Baseline</x:v>
      </x:c>
      <x:c r="C104" s="1" t="n">
        <x:v>9</x:v>
      </x:c>
      <x:c r="D104" s="14" t="n">
        <x:f>D103+'Assumptions'!C14</x:f>
        <x:v>0.0030000000000000005</x:v>
      </x:c>
      <x:c r="E104" s="14" t="n">
        <x:f>'Assumptions'!D14</x:f>
        <x:v>0</x:v>
      </x:c>
      <x:c r="F104" s="14" t="n">
        <x:f>'Source'!K8+D104</x:f>
        <x:v>0.15433924268088156</x:v>
      </x:c>
      <x:c r="G104" s="14" t="n">
        <x:f>('Source'!F8-'Source'!G8-I104)/'Source'!E8</x:f>
        <x:v>0.29675344446905916</x:v>
      </x:c>
      <x:c r="H104" s="11" t="n">
        <x:f>'Source'!H8-I104</x:f>
        <x:v>2713700000</x:v>
      </x:c>
      <x:c r="I104" s="11" t="n">
        <x:f>'Source'!H8*E104</x:f>
        <x:v>0</x:v>
      </x:c>
      <x:c r="J104" s="11" t="n">
        <x:f>'Source'!I8*L104</x:f>
        <x:v>0</x:v>
      </x:c>
      <x:c r="K104" s="14" t="n">
        <x:f>J104/'Source'!C8</x:f>
        <x:v>0</x:v>
      </x:c>
      <x:c r="L104" s="14" t="n">
        <x:f>'Assumptions'!E14</x:f>
        <x:v>0</x:v>
      </x:c>
      <x:c r="M104" s="14" t="n">
        <x:v>0.154339</x:v>
      </x:c>
      <x:c r="N104" s="14" t="n">
        <x:v>0.296753</x:v>
      </x:c>
      <x:c r="O104" s="1" t="str">
        <x:f>IF(AND(ROUND(F104,6)=M104,ROUND(G104,6)=N104),"PASS","CHECK")</x:f>
        <x:v>PASS</x:v>
      </x:c>
      <x:c r="P104" s="1"/>
    </x:row>
    <x:row r="105">
      <x:c r="A105" s="1" t="str">
        <x:v>JPMorgan Chase</x:v>
      </x:c>
      <x:c r="B105" s="1" t="str">
        <x:v>Adverse</x:v>
      </x:c>
      <x:c r="C105" s="1" t="n">
        <x:v>0</x:v>
      </x:c>
      <x:c r="D105" s="14" t="n">
        <x:f>'Assumptions'!C15</x:f>
        <x:v>0</x:v>
      </x:c>
      <x:c r="E105" s="14" t="n">
        <x:f>'Assumptions'!D15</x:f>
        <x:v>0</x:v>
      </x:c>
      <x:c r="F105" s="14" t="n">
        <x:f>'Source'!K8+D105</x:f>
        <x:v>0.15133924268088156</x:v>
      </x:c>
      <x:c r="G105" s="14" t="n">
        <x:f>('Source'!F8-'Source'!G8-I105)/'Source'!E8</x:f>
        <x:v>0.29675344446905916</x:v>
      </x:c>
      <x:c r="H105" s="11" t="n">
        <x:f>'Source'!H8-I105</x:f>
        <x:v>2713700000</x:v>
      </x:c>
      <x:c r="I105" s="11" t="n">
        <x:f>'Source'!H8*E105</x:f>
        <x:v>0</x:v>
      </x:c>
      <x:c r="J105" s="11" t="n">
        <x:f>'Source'!I8*L105</x:f>
        <x:v>0</x:v>
      </x:c>
      <x:c r="K105" s="14" t="n">
        <x:f>J105/'Source'!C8</x:f>
        <x:v>0</x:v>
      </x:c>
      <x:c r="L105" s="14" t="n">
        <x:f>'Assumptions'!E15</x:f>
        <x:v>0</x:v>
      </x:c>
      <x:c r="M105" s="14" t="n">
        <x:v>0.151339</x:v>
      </x:c>
      <x:c r="N105" s="14" t="n">
        <x:v>0.296753</x:v>
      </x:c>
      <x:c r="O105" s="1" t="str">
        <x:f>IF(AND(ROUND(F105,6)=M105,ROUND(G105,6)=N105),"PASS","CHECK")</x:f>
        <x:v>PASS</x:v>
      </x:c>
      <x:c r="P105" s="1"/>
    </x:row>
    <x:row r="106">
      <x:c r="A106" s="1" t="str">
        <x:v>JPMorgan Chase</x:v>
      </x:c>
      <x:c r="B106" s="1" t="str">
        <x:v>Adverse</x:v>
      </x:c>
      <x:c r="C106" s="1" t="n">
        <x:v>1</x:v>
      </x:c>
      <x:c r="D106" s="14" t="n">
        <x:f>D105+'Assumptions'!C16</x:f>
        <x:v>-0.002</x:v>
      </x:c>
      <x:c r="E106" s="14" t="n">
        <x:f>'Assumptions'!D16</x:f>
        <x:v>0.0125</x:v>
      </x:c>
      <x:c r="F106" s="14" t="n">
        <x:f>'Source'!K8+D106</x:f>
        <x:v>0.14933924268088156</x:v>
      </x:c>
      <x:c r="G106" s="14" t="n">
        <x:f>('Source'!F8-'Source'!G8-I106)/'Source'!E8</x:f>
        <x:v>0.28998957940558745</x:v>
      </x:c>
      <x:c r="H106" s="11" t="n">
        <x:f>'Source'!H8-I106</x:f>
        <x:v>2679778750</x:v>
      </x:c>
      <x:c r="I106" s="11" t="n">
        <x:f>'Source'!H8*E106</x:f>
        <x:v>33921250</x:v>
      </x:c>
      <x:c r="J106" s="11" t="n">
        <x:f>'Source'!I8*L106</x:f>
        <x:v>6034230</x:v>
      </x:c>
      <x:c r="K106" s="14" t="n">
        <x:f>J106/'Source'!C8</x:f>
        <x:v>0.018698035448686166</x:v>
      </x:c>
      <x:c r="L106" s="14" t="n">
        <x:f>'Assumptions'!E16</x:f>
        <x:v>0.0075</x:v>
      </x:c>
      <x:c r="M106" s="14" t="n">
        <x:v>0.149339</x:v>
      </x:c>
      <x:c r="N106" s="14" t="n">
        <x:v>0.28999</x:v>
      </x:c>
      <x:c r="O106" s="1" t="str">
        <x:f>IF(AND(ROUND(F106,6)=M106,ROUND(G106,6)=N106),"PASS","CHECK")</x:f>
        <x:v>PASS</x:v>
      </x:c>
      <x:c r="P106" s="1"/>
    </x:row>
    <x:row r="107">
      <x:c r="A107" s="1" t="str">
        <x:v>JPMorgan Chase</x:v>
      </x:c>
      <x:c r="B107" s="1" t="str">
        <x:v>Adverse</x:v>
      </x:c>
      <x:c r="C107" s="1" t="n">
        <x:v>2</x:v>
      </x:c>
      <x:c r="D107" s="14" t="n">
        <x:f>D106+'Assumptions'!C17</x:f>
        <x:v>-0.004</x:v>
      </x:c>
      <x:c r="E107" s="14" t="n">
        <x:f>'Assumptions'!D17</x:f>
        <x:v>0.025</x:v>
      </x:c>
      <x:c r="F107" s="14" t="n">
        <x:f>'Source'!K8+D107</x:f>
        <x:v>0.14733924268088155</x:v>
      </x:c>
      <x:c r="G107" s="14" t="n">
        <x:f>('Source'!F8-'Source'!G8-I107)/'Source'!E8</x:f>
        <x:v>0.28322571434211574</x:v>
      </x:c>
      <x:c r="H107" s="11" t="n">
        <x:f>'Source'!H8-I107</x:f>
        <x:v>2645857500</x:v>
      </x:c>
      <x:c r="I107" s="11" t="n">
        <x:f>'Source'!H8*E107</x:f>
        <x:v>67842500</x:v>
      </x:c>
      <x:c r="J107" s="11" t="n">
        <x:f>'Source'!I8*L107</x:f>
        <x:v>12068460</x:v>
      </x:c>
      <x:c r="K107" s="14" t="n">
        <x:f>J107/'Source'!C8</x:f>
        <x:v>0.03739607089737233</x:v>
      </x:c>
      <x:c r="L107" s="14" t="n">
        <x:f>'Assumptions'!E17</x:f>
        <x:v>0.015</x:v>
      </x:c>
      <x:c r="M107" s="14" t="n">
        <x:v>0.147339</x:v>
      </x:c>
      <x:c r="N107" s="14" t="n">
        <x:v>0.283226</x:v>
      </x:c>
      <x:c r="O107" s="1" t="str">
        <x:f>IF(AND(ROUND(F107,6)=M107,ROUND(G107,6)=N107),"PASS","CHECK")</x:f>
        <x:v>PASS</x:v>
      </x:c>
      <x:c r="P107" s="1"/>
    </x:row>
    <x:row r="108">
      <x:c r="A108" s="1" t="str">
        <x:v>JPMorgan Chase</x:v>
      </x:c>
      <x:c r="B108" s="1" t="str">
        <x:v>Adverse</x:v>
      </x:c>
      <x:c r="C108" s="1" t="n">
        <x:v>3</x:v>
      </x:c>
      <x:c r="D108" s="14" t="n">
        <x:f>D107+'Assumptions'!C18</x:f>
        <x:v>-0.006</x:v>
      </x:c>
      <x:c r="E108" s="14" t="n">
        <x:f>'Assumptions'!D18</x:f>
        <x:v>0.037500000000000006</x:v>
      </x:c>
      <x:c r="F108" s="14" t="n">
        <x:f>'Source'!K8+D108</x:f>
        <x:v>0.14533924268088155</x:v>
      </x:c>
      <x:c r="G108" s="14" t="n">
        <x:f>('Source'!F8-'Source'!G8-I108)/'Source'!E8</x:f>
        <x:v>0.27646184927864403</x:v>
      </x:c>
      <x:c r="H108" s="11" t="n">
        <x:f>'Source'!H8-I108</x:f>
        <x:v>2611936250</x:v>
      </x:c>
      <x:c r="I108" s="11" t="n">
        <x:f>'Source'!H8*E108</x:f>
        <x:v>101763750.00000001</x:v>
      </x:c>
      <x:c r="J108" s="11" t="n">
        <x:f>'Source'!I8*L108</x:f>
        <x:v>18102690</x:v>
      </x:c>
      <x:c r="K108" s="14" t="n">
        <x:f>J108/'Source'!C8</x:f>
        <x:v>0.056094106346058506</x:v>
      </x:c>
      <x:c r="L108" s="14" t="n">
        <x:f>'Assumptions'!E18</x:f>
        <x:v>0.0225</x:v>
      </x:c>
      <x:c r="M108" s="14" t="n">
        <x:v>0.145339</x:v>
      </x:c>
      <x:c r="N108" s="14" t="n">
        <x:v>0.276462</x:v>
      </x:c>
      <x:c r="O108" s="1" t="str">
        <x:f>IF(AND(ROUND(F108,6)=M108,ROUND(G108,6)=N108),"PASS","CHECK")</x:f>
        <x:v>PASS</x:v>
      </x:c>
      <x:c r="P108" s="1"/>
    </x:row>
    <x:row r="109">
      <x:c r="A109" s="1" t="str">
        <x:v>JPMorgan Chase</x:v>
      </x:c>
      <x:c r="B109" s="1" t="str">
        <x:v>Adverse</x:v>
      </x:c>
      <x:c r="C109" s="1" t="n">
        <x:v>4</x:v>
      </x:c>
      <x:c r="D109" s="14" t="n">
        <x:f>D108+'Assumptions'!C19</x:f>
        <x:v>-0.008</x:v>
      </x:c>
      <x:c r="E109" s="14" t="n">
        <x:f>'Assumptions'!D19</x:f>
        <x:v>0.05</x:v>
      </x:c>
      <x:c r="F109" s="14" t="n">
        <x:f>'Source'!K8+D109</x:f>
        <x:v>0.14333924268088155</x:v>
      </x:c>
      <x:c r="G109" s="14" t="n">
        <x:f>('Source'!F8-'Source'!G8-I109)/'Source'!E8</x:f>
        <x:v>0.2696979842151723</x:v>
      </x:c>
      <x:c r="H109" s="11" t="n">
        <x:f>'Source'!H8-I109</x:f>
        <x:v>2578015000</x:v>
      </x:c>
      <x:c r="I109" s="11" t="n">
        <x:f>'Source'!H8*E109</x:f>
        <x:v>135685000</x:v>
      </x:c>
      <x:c r="J109" s="11" t="n">
        <x:f>'Source'!I8*L109</x:f>
        <x:v>24136920</x:v>
      </x:c>
      <x:c r="K109" s="14" t="n">
        <x:f>J109/'Source'!C8</x:f>
        <x:v>0.07479214179474467</x:v>
      </x:c>
      <x:c r="L109" s="14" t="n">
        <x:f>'Assumptions'!E19</x:f>
        <x:v>0.03</x:v>
      </x:c>
      <x:c r="M109" s="14" t="n">
        <x:v>0.143339</x:v>
      </x:c>
      <x:c r="N109" s="14" t="n">
        <x:v>0.269698</x:v>
      </x:c>
      <x:c r="O109" s="1" t="str">
        <x:f>IF(AND(ROUND(F109,6)=M109,ROUND(G109,6)=N109),"PASS","CHECK")</x:f>
        <x:v>PASS</x:v>
      </x:c>
      <x:c r="P109" s="1"/>
    </x:row>
    <x:row r="110">
      <x:c r="A110" s="1" t="str">
        <x:v>JPMorgan Chase</x:v>
      </x:c>
      <x:c r="B110" s="1" t="str">
        <x:v>Adverse</x:v>
      </x:c>
      <x:c r="C110" s="1" t="n">
        <x:v>5</x:v>
      </x:c>
      <x:c r="D110" s="14" t="n">
        <x:f>D109+'Assumptions'!C20</x:f>
        <x:v>-0.01</x:v>
      </x:c>
      <x:c r="E110" s="14" t="n">
        <x:f>'Assumptions'!D20</x:f>
        <x:v>0.05</x:v>
      </x:c>
      <x:c r="F110" s="14" t="n">
        <x:f>'Source'!K8+D110</x:f>
        <x:v>0.14133924268088155</x:v>
      </x:c>
      <x:c r="G110" s="14" t="n">
        <x:f>('Source'!F8-'Source'!G8-I110)/'Source'!E8</x:f>
        <x:v>0.2696979842151723</x:v>
      </x:c>
      <x:c r="H110" s="11" t="n">
        <x:f>'Source'!H8-I110</x:f>
        <x:v>2578015000</x:v>
      </x:c>
      <x:c r="I110" s="11" t="n">
        <x:f>'Source'!H8*E110</x:f>
        <x:v>135685000</x:v>
      </x:c>
      <x:c r="J110" s="11" t="n">
        <x:f>'Source'!I8*L110</x:f>
        <x:v>24136920</x:v>
      </x:c>
      <x:c r="K110" s="14" t="n">
        <x:f>J110/'Source'!C8</x:f>
        <x:v>0.07479214179474467</x:v>
      </x:c>
      <x:c r="L110" s="14" t="n">
        <x:f>'Assumptions'!E20</x:f>
        <x:v>0.03</x:v>
      </x:c>
      <x:c r="M110" s="14" t="n">
        <x:v>0.141339</x:v>
      </x:c>
      <x:c r="N110" s="14" t="n">
        <x:v>0.269698</x:v>
      </x:c>
      <x:c r="O110" s="1" t="str">
        <x:f>IF(AND(ROUND(F110,6)=M110,ROUND(G110,6)=N110),"PASS","CHECK")</x:f>
        <x:v>PASS</x:v>
      </x:c>
      <x:c r="P110" s="1"/>
    </x:row>
    <x:row r="111">
      <x:c r="A111" s="1" t="str">
        <x:v>JPMorgan Chase</x:v>
      </x:c>
      <x:c r="B111" s="1" t="str">
        <x:v>Adverse</x:v>
      </x:c>
      <x:c r="C111" s="1" t="n">
        <x:v>6</x:v>
      </x:c>
      <x:c r="D111" s="14" t="n">
        <x:f>D110+'Assumptions'!C21</x:f>
        <x:v>-0.01</x:v>
      </x:c>
      <x:c r="E111" s="14" t="n">
        <x:f>'Assumptions'!D21</x:f>
        <x:v>0.05</x:v>
      </x:c>
      <x:c r="F111" s="14" t="n">
        <x:f>'Source'!K8+D111</x:f>
        <x:v>0.14133924268088155</x:v>
      </x:c>
      <x:c r="G111" s="14" t="n">
        <x:f>('Source'!F8-'Source'!G8-I111)/'Source'!E8</x:f>
        <x:v>0.2696979842151723</x:v>
      </x:c>
      <x:c r="H111" s="11" t="n">
        <x:f>'Source'!H8-I111</x:f>
        <x:v>2578015000</x:v>
      </x:c>
      <x:c r="I111" s="11" t="n">
        <x:f>'Source'!H8*E111</x:f>
        <x:v>135685000</x:v>
      </x:c>
      <x:c r="J111" s="11" t="n">
        <x:f>'Source'!I8*L111</x:f>
        <x:v>24136920</x:v>
      </x:c>
      <x:c r="K111" s="14" t="n">
        <x:f>J111/'Source'!C8</x:f>
        <x:v>0.07479214179474467</x:v>
      </x:c>
      <x:c r="L111" s="14" t="n">
        <x:f>'Assumptions'!E21</x:f>
        <x:v>0.03</x:v>
      </x:c>
      <x:c r="M111" s="14" t="n">
        <x:v>0.141339</x:v>
      </x:c>
      <x:c r="N111" s="14" t="n">
        <x:v>0.269698</x:v>
      </x:c>
      <x:c r="O111" s="1" t="str">
        <x:f>IF(AND(ROUND(F111,6)=M111,ROUND(G111,6)=N111),"PASS","CHECK")</x:f>
        <x:v>PASS</x:v>
      </x:c>
      <x:c r="P111" s="1"/>
    </x:row>
    <x:row r="112">
      <x:c r="A112" s="1" t="str">
        <x:v>JPMorgan Chase</x:v>
      </x:c>
      <x:c r="B112" s="1" t="str">
        <x:v>Adverse</x:v>
      </x:c>
      <x:c r="C112" s="1" t="n">
        <x:v>7</x:v>
      </x:c>
      <x:c r="D112" s="14" t="n">
        <x:f>D111+'Assumptions'!C22</x:f>
        <x:v>-0.01</x:v>
      </x:c>
      <x:c r="E112" s="14" t="n">
        <x:f>'Assumptions'!D22</x:f>
        <x:v>0.05</x:v>
      </x:c>
      <x:c r="F112" s="14" t="n">
        <x:f>'Source'!K8+D112</x:f>
        <x:v>0.14133924268088155</x:v>
      </x:c>
      <x:c r="G112" s="14" t="n">
        <x:f>('Source'!F8-'Source'!G8-I112)/'Source'!E8</x:f>
        <x:v>0.2696979842151723</x:v>
      </x:c>
      <x:c r="H112" s="11" t="n">
        <x:f>'Source'!H8-I112</x:f>
        <x:v>2578015000</x:v>
      </x:c>
      <x:c r="I112" s="11" t="n">
        <x:f>'Source'!H8*E112</x:f>
        <x:v>135685000</x:v>
      </x:c>
      <x:c r="J112" s="11" t="n">
        <x:f>'Source'!I8*L112</x:f>
        <x:v>24136920</x:v>
      </x:c>
      <x:c r="K112" s="14" t="n">
        <x:f>J112/'Source'!C8</x:f>
        <x:v>0.07479214179474467</x:v>
      </x:c>
      <x:c r="L112" s="14" t="n">
        <x:f>'Assumptions'!E22</x:f>
        <x:v>0.03</x:v>
      </x:c>
      <x:c r="M112" s="14" t="n">
        <x:v>0.141339</x:v>
      </x:c>
      <x:c r="N112" s="14" t="n">
        <x:v>0.269698</x:v>
      </x:c>
      <x:c r="O112" s="1" t="str">
        <x:f>IF(AND(ROUND(F112,6)=M112,ROUND(G112,6)=N112),"PASS","CHECK")</x:f>
        <x:v>PASS</x:v>
      </x:c>
      <x:c r="P112" s="1"/>
    </x:row>
    <x:row r="113">
      <x:c r="A113" s="1" t="str">
        <x:v>JPMorgan Chase</x:v>
      </x:c>
      <x:c r="B113" s="1" t="str">
        <x:v>Adverse</x:v>
      </x:c>
      <x:c r="C113" s="1" t="n">
        <x:v>8</x:v>
      </x:c>
      <x:c r="D113" s="14" t="n">
        <x:f>D112+'Assumptions'!C23</x:f>
        <x:v>-0.01</x:v>
      </x:c>
      <x:c r="E113" s="14" t="n">
        <x:f>'Assumptions'!D23</x:f>
        <x:v>0.05</x:v>
      </x:c>
      <x:c r="F113" s="14" t="n">
        <x:f>'Source'!K8+D113</x:f>
        <x:v>0.14133924268088155</x:v>
      </x:c>
      <x:c r="G113" s="14" t="n">
        <x:f>('Source'!F8-'Source'!G8-I113)/'Source'!E8</x:f>
        <x:v>0.2696979842151723</x:v>
      </x:c>
      <x:c r="H113" s="11" t="n">
        <x:f>'Source'!H8-I113</x:f>
        <x:v>2578015000</x:v>
      </x:c>
      <x:c r="I113" s="11" t="n">
        <x:f>'Source'!H8*E113</x:f>
        <x:v>135685000</x:v>
      </x:c>
      <x:c r="J113" s="11" t="n">
        <x:f>'Source'!I8*L113</x:f>
        <x:v>24136920</x:v>
      </x:c>
      <x:c r="K113" s="14" t="n">
        <x:f>J113/'Source'!C8</x:f>
        <x:v>0.07479214179474467</x:v>
      </x:c>
      <x:c r="L113" s="14" t="n">
        <x:f>'Assumptions'!E23</x:f>
        <x:v>0.03</x:v>
      </x:c>
      <x:c r="M113" s="14" t="n">
        <x:v>0.141339</x:v>
      </x:c>
      <x:c r="N113" s="14" t="n">
        <x:v>0.269698</x:v>
      </x:c>
      <x:c r="O113" s="1" t="str">
        <x:f>IF(AND(ROUND(F113,6)=M113,ROUND(G113,6)=N113),"PASS","CHECK")</x:f>
        <x:v>PASS</x:v>
      </x:c>
      <x:c r="P113" s="1"/>
    </x:row>
    <x:row r="114">
      <x:c r="A114" s="1" t="str">
        <x:v>JPMorgan Chase</x:v>
      </x:c>
      <x:c r="B114" s="1" t="str">
        <x:v>Adverse</x:v>
      </x:c>
      <x:c r="C114" s="1" t="n">
        <x:v>9</x:v>
      </x:c>
      <x:c r="D114" s="14" t="n">
        <x:f>D113+'Assumptions'!C24</x:f>
        <x:v>-0.01</x:v>
      </x:c>
      <x:c r="E114" s="14" t="n">
        <x:f>'Assumptions'!D24</x:f>
        <x:v>0.05</x:v>
      </x:c>
      <x:c r="F114" s="14" t="n">
        <x:f>'Source'!K8+D114</x:f>
        <x:v>0.14133924268088155</x:v>
      </x:c>
      <x:c r="G114" s="14" t="n">
        <x:f>('Source'!F8-'Source'!G8-I114)/'Source'!E8</x:f>
        <x:v>0.2696979842151723</x:v>
      </x:c>
      <x:c r="H114" s="11" t="n">
        <x:f>'Source'!H8-I114</x:f>
        <x:v>2578015000</x:v>
      </x:c>
      <x:c r="I114" s="11" t="n">
        <x:f>'Source'!H8*E114</x:f>
        <x:v>135685000</x:v>
      </x:c>
      <x:c r="J114" s="11" t="n">
        <x:f>'Source'!I8*L114</x:f>
        <x:v>24136920</x:v>
      </x:c>
      <x:c r="K114" s="14" t="n">
        <x:f>J114/'Source'!C8</x:f>
        <x:v>0.07479214179474467</x:v>
      </x:c>
      <x:c r="L114" s="14" t="n">
        <x:f>'Assumptions'!E24</x:f>
        <x:v>0.03</x:v>
      </x:c>
      <x:c r="M114" s="14" t="n">
        <x:v>0.141339</x:v>
      </x:c>
      <x:c r="N114" s="14" t="n">
        <x:v>0.269698</x:v>
      </x:c>
      <x:c r="O114" s="1" t="str">
        <x:f>IF(AND(ROUND(F114,6)=M114,ROUND(G114,6)=N114),"PASS","CHECK")</x:f>
        <x:v>PASS</x:v>
      </x:c>
      <x:c r="P114" s="1"/>
    </x:row>
    <x:row r="115">
      <x:c r="A115" s="1" t="str">
        <x:v>JPMorgan Chase</x:v>
      </x:c>
      <x:c r="B115" s="1" t="str">
        <x:v>Severely Adverse</x:v>
      </x:c>
      <x:c r="C115" s="1" t="n">
        <x:v>0</x:v>
      </x:c>
      <x:c r="D115" s="14" t="n">
        <x:f>'Assumptions'!C25</x:f>
        <x:v>0</x:v>
      </x:c>
      <x:c r="E115" s="14" t="n">
        <x:f>'Assumptions'!D25</x:f>
        <x:v>0</x:v>
      </x:c>
      <x:c r="F115" s="14" t="n">
        <x:f>'Source'!K8+D115</x:f>
        <x:v>0.15133924268088156</x:v>
      </x:c>
      <x:c r="G115" s="14" t="n">
        <x:f>('Source'!F8-'Source'!G8-I115)/'Source'!E8</x:f>
        <x:v>0.29675344446905916</x:v>
      </x:c>
      <x:c r="H115" s="11" t="n">
        <x:f>'Source'!H8-I115</x:f>
        <x:v>2713700000</x:v>
      </x:c>
      <x:c r="I115" s="11" t="n">
        <x:f>'Source'!H8*E115</x:f>
        <x:v>0</x:v>
      </x:c>
      <x:c r="J115" s="11" t="n">
        <x:f>'Source'!I8*L115</x:f>
        <x:v>0</x:v>
      </x:c>
      <x:c r="K115" s="14" t="n">
        <x:f>J115/'Source'!C8</x:f>
        <x:v>0</x:v>
      </x:c>
      <x:c r="L115" s="14" t="n">
        <x:f>'Assumptions'!E25</x:f>
        <x:v>0</x:v>
      </x:c>
      <x:c r="M115" s="14" t="n">
        <x:v>0.151339</x:v>
      </x:c>
      <x:c r="N115" s="14" t="n">
        <x:v>0.296753</x:v>
      </x:c>
      <x:c r="O115" s="1" t="str">
        <x:f>IF(AND(ROUND(F115,6)=M115,ROUND(G115,6)=N115),"PASS","CHECK")</x:f>
        <x:v>PASS</x:v>
      </x:c>
      <x:c r="P115" s="1"/>
    </x:row>
    <x:row r="116">
      <x:c r="A116" s="1" t="str">
        <x:v>JPMorgan Chase</x:v>
      </x:c>
      <x:c r="B116" s="1" t="str">
        <x:v>Severely Adverse</x:v>
      </x:c>
      <x:c r="C116" s="1" t="n">
        <x:v>1</x:v>
      </x:c>
      <x:c r="D116" s="14" t="n">
        <x:f>D115+'Assumptions'!C26</x:f>
        <x:v>-0.006</x:v>
      </x:c>
      <x:c r="E116" s="14" t="n">
        <x:f>'Assumptions'!D26</x:f>
        <x:v>0.075</x:v>
      </x:c>
      <x:c r="F116" s="14" t="n">
        <x:f>'Source'!K8+D116</x:f>
        <x:v>0.14533924268088155</x:v>
      </x:c>
      <x:c r="G116" s="14" t="n">
        <x:f>('Source'!F8-'Source'!G8-I116)/'Source'!E8</x:f>
        <x:v>0.2561702540882289</x:v>
      </x:c>
      <x:c r="H116" s="11" t="n">
        <x:f>'Source'!H8-I116</x:f>
        <x:v>2510172500</x:v>
      </x:c>
      <x:c r="I116" s="11" t="n">
        <x:f>'Source'!H8*E116</x:f>
        <x:v>203527500</x:v>
      </x:c>
      <x:c r="J116" s="11" t="n">
        <x:f>'Source'!I8*L116</x:f>
        <x:v>40228200</x:v>
      </x:c>
      <x:c r="K116" s="14" t="n">
        <x:f>J116/'Source'!C8</x:f>
        <x:v>0.12465356965790779</x:v>
      </x:c>
      <x:c r="L116" s="14" t="n">
        <x:f>'Assumptions'!E26</x:f>
        <x:v>0.05</x:v>
      </x:c>
      <x:c r="M116" s="14" t="n">
        <x:v>0.145339</x:v>
      </x:c>
      <x:c r="N116" s="14" t="n">
        <x:v>0.25617</x:v>
      </x:c>
      <x:c r="O116" s="1" t="str">
        <x:f>IF(AND(ROUND(F116,6)=M116,ROUND(G116,6)=N116),"PASS","CHECK")</x:f>
        <x:v>PASS</x:v>
      </x:c>
      <x:c r="P116" s="1"/>
    </x:row>
    <x:row r="117">
      <x:c r="A117" s="1" t="str">
        <x:v>JPMorgan Chase</x:v>
      </x:c>
      <x:c r="B117" s="1" t="str">
        <x:v>Severely Adverse</x:v>
      </x:c>
      <x:c r="C117" s="1" t="n">
        <x:v>2</x:v>
      </x:c>
      <x:c r="D117" s="14" t="n">
        <x:f>D116+'Assumptions'!C27</x:f>
        <x:v>-0.011</x:v>
      </x:c>
      <x:c r="E117" s="14" t="n">
        <x:f>'Assumptions'!D27</x:f>
        <x:v>0.15</x:v>
      </x:c>
      <x:c r="F117" s="14" t="n">
        <x:f>'Source'!K8+D117</x:f>
        <x:v>0.14033924268088155</x:v>
      </x:c>
      <x:c r="G117" s="14" t="n">
        <x:f>('Source'!F8-'Source'!G8-I117)/'Source'!E8</x:f>
        <x:v>0.21558706370739864</x:v>
      </x:c>
      <x:c r="H117" s="11" t="n">
        <x:f>'Source'!H8-I117</x:f>
        <x:v>2306645000</x:v>
      </x:c>
      <x:c r="I117" s="11" t="n">
        <x:f>'Source'!H8*E117</x:f>
        <x:v>407055000</x:v>
      </x:c>
      <x:c r="J117" s="11" t="n">
        <x:f>'Source'!I8*L117</x:f>
        <x:v>80456400</x:v>
      </x:c>
      <x:c r="K117" s="14" t="n">
        <x:f>J117/'Source'!C8</x:f>
        <x:v>0.24930713931581558</x:v>
      </x:c>
      <x:c r="L117" s="14" t="n">
        <x:f>'Assumptions'!E27</x:f>
        <x:v>0.1</x:v>
      </x:c>
      <x:c r="M117" s="14" t="n">
        <x:v>0.140339</x:v>
      </x:c>
      <x:c r="N117" s="14" t="n">
        <x:v>0.215587</x:v>
      </x:c>
      <x:c r="O117" s="1" t="str">
        <x:f>IF(AND(ROUND(F117,6)=M117,ROUND(G117,6)=N117),"PASS","CHECK")</x:f>
        <x:v>PASS</x:v>
      </x:c>
      <x:c r="P117" s="1"/>
    </x:row>
    <x:row r="118">
      <x:c r="A118" s="1" t="str">
        <x:v>JPMorgan Chase</x:v>
      </x:c>
      <x:c r="B118" s="1" t="str">
        <x:v>Severely Adverse</x:v>
      </x:c>
      <x:c r="C118" s="1" t="n">
        <x:v>3</x:v>
      </x:c>
      <x:c r="D118" s="14" t="n">
        <x:f>D117+'Assumptions'!C28</x:f>
        <x:v>-0.015</x:v>
      </x:c>
      <x:c r="E118" s="14" t="n">
        <x:f>'Assumptions'!D28</x:f>
        <x:v>0.15</x:v>
      </x:c>
      <x:c r="F118" s="14" t="n">
        <x:f>'Source'!K8+D118</x:f>
        <x:v>0.13633924268088154</x:v>
      </x:c>
      <x:c r="G118" s="14" t="n">
        <x:f>('Source'!F8-'Source'!G8-I118)/'Source'!E8</x:f>
        <x:v>0.21558706370739864</x:v>
      </x:c>
      <x:c r="H118" s="11" t="n">
        <x:f>'Source'!H8-I118</x:f>
        <x:v>2306645000</x:v>
      </x:c>
      <x:c r="I118" s="11" t="n">
        <x:f>'Source'!H8*E118</x:f>
        <x:v>407055000</x:v>
      </x:c>
      <x:c r="J118" s="11" t="n">
        <x:f>'Source'!I8*L118</x:f>
        <x:v>80456400</x:v>
      </x:c>
      <x:c r="K118" s="14" t="n">
        <x:f>J118/'Source'!C8</x:f>
        <x:v>0.24930713931581558</x:v>
      </x:c>
      <x:c r="L118" s="14" t="n">
        <x:f>'Assumptions'!E28</x:f>
        <x:v>0.1</x:v>
      </x:c>
      <x:c r="M118" s="14" t="n">
        <x:v>0.136339</x:v>
      </x:c>
      <x:c r="N118" s="14" t="n">
        <x:v>0.215587</x:v>
      </x:c>
      <x:c r="O118" s="1" t="str">
        <x:f>IF(AND(ROUND(F118,6)=M118,ROUND(G118,6)=N118),"PASS","CHECK")</x:f>
        <x:v>PASS</x:v>
      </x:c>
      <x:c r="P118" s="1"/>
    </x:row>
    <x:row r="119">
      <x:c r="A119" s="1" t="str">
        <x:v>JPMorgan Chase</x:v>
      </x:c>
      <x:c r="B119" s="1" t="str">
        <x:v>Severely Adverse</x:v>
      </x:c>
      <x:c r="C119" s="1" t="n">
        <x:v>4</x:v>
      </x:c>
      <x:c r="D119" s="14" t="n">
        <x:f>D118+'Assumptions'!C29</x:f>
        <x:v>-0.018</x:v>
      </x:c>
      <x:c r="E119" s="14" t="n">
        <x:f>'Assumptions'!D29</x:f>
        <x:v>0.15</x:v>
      </x:c>
      <x:c r="F119" s="14" t="n">
        <x:f>'Source'!K8+D119</x:f>
        <x:v>0.13333924268088157</x:v>
      </x:c>
      <x:c r="G119" s="14" t="n">
        <x:f>('Source'!F8-'Source'!G8-I119)/'Source'!E8</x:f>
        <x:v>0.21558706370739864</x:v>
      </x:c>
      <x:c r="H119" s="11" t="n">
        <x:f>'Source'!H8-I119</x:f>
        <x:v>2306645000</x:v>
      </x:c>
      <x:c r="I119" s="11" t="n">
        <x:f>'Source'!H8*E119</x:f>
        <x:v>407055000</x:v>
      </x:c>
      <x:c r="J119" s="11" t="n">
        <x:f>'Source'!I8*L119</x:f>
        <x:v>80456400</x:v>
      </x:c>
      <x:c r="K119" s="14" t="n">
        <x:f>J119/'Source'!C8</x:f>
        <x:v>0.24930713931581558</x:v>
      </x:c>
      <x:c r="L119" s="14" t="n">
        <x:f>'Assumptions'!E29</x:f>
        <x:v>0.1</x:v>
      </x:c>
      <x:c r="M119" s="14" t="n">
        <x:v>0.133339</x:v>
      </x:c>
      <x:c r="N119" s="14" t="n">
        <x:v>0.215587</x:v>
      </x:c>
      <x:c r="O119" s="1" t="str">
        <x:f>IF(AND(ROUND(F119,6)=M119,ROUND(G119,6)=N119),"PASS","CHECK")</x:f>
        <x:v>PASS</x:v>
      </x:c>
      <x:c r="P119" s="1"/>
    </x:row>
    <x:row r="120">
      <x:c r="A120" s="1" t="str">
        <x:v>JPMorgan Chase</x:v>
      </x:c>
      <x:c r="B120" s="1" t="str">
        <x:v>Severely Adverse</x:v>
      </x:c>
      <x:c r="C120" s="1" t="n">
        <x:v>5</x:v>
      </x:c>
      <x:c r="D120" s="14" t="n">
        <x:f>D119+'Assumptions'!C30</x:f>
        <x:v>-0.016999999999999998</x:v>
      </x:c>
      <x:c r="E120" s="14" t="n">
        <x:f>'Assumptions'!D30</x:f>
        <x:v>0.15</x:v>
      </x:c>
      <x:c r="F120" s="14" t="n">
        <x:f>'Source'!K8+D120</x:f>
        <x:v>0.13433924268088157</x:v>
      </x:c>
      <x:c r="G120" s="14" t="n">
        <x:f>('Source'!F8-'Source'!G8-I120)/'Source'!E8</x:f>
        <x:v>0.21558706370739864</x:v>
      </x:c>
      <x:c r="H120" s="11" t="n">
        <x:f>'Source'!H8-I120</x:f>
        <x:v>2306645000</x:v>
      </x:c>
      <x:c r="I120" s="11" t="n">
        <x:f>'Source'!H8*E120</x:f>
        <x:v>407055000</x:v>
      </x:c>
      <x:c r="J120" s="11" t="n">
        <x:f>'Source'!I8*L120</x:f>
        <x:v>80456400</x:v>
      </x:c>
      <x:c r="K120" s="14" t="n">
        <x:f>J120/'Source'!C8</x:f>
        <x:v>0.24930713931581558</x:v>
      </x:c>
      <x:c r="L120" s="14" t="n">
        <x:f>'Assumptions'!E30</x:f>
        <x:v>0.1</x:v>
      </x:c>
      <x:c r="M120" s="14" t="n">
        <x:v>0.134339</x:v>
      </x:c>
      <x:c r="N120" s="14" t="n">
        <x:v>0.215587</x:v>
      </x:c>
      <x:c r="O120" s="1" t="str">
        <x:f>IF(AND(ROUND(F120,6)=M120,ROUND(G120,6)=N120),"PASS","CHECK")</x:f>
        <x:v>PASS</x:v>
      </x:c>
      <x:c r="P120" s="1"/>
    </x:row>
    <x:row r="121">
      <x:c r="A121" s="1" t="str">
        <x:v>JPMorgan Chase</x:v>
      </x:c>
      <x:c r="B121" s="1" t="str">
        <x:v>Severely Adverse</x:v>
      </x:c>
      <x:c r="C121" s="1" t="n">
        <x:v>6</x:v>
      </x:c>
      <x:c r="D121" s="14" t="n">
        <x:f>D120+'Assumptions'!C31</x:f>
        <x:v>-0.015999999999999997</x:v>
      </x:c>
      <x:c r="E121" s="14" t="n">
        <x:f>'Assumptions'!D31</x:f>
        <x:v>0.15</x:v>
      </x:c>
      <x:c r="F121" s="14" t="n">
        <x:f>'Source'!K8+D121</x:f>
        <x:v>0.13533924268088157</x:v>
      </x:c>
      <x:c r="G121" s="14" t="n">
        <x:f>('Source'!F8-'Source'!G8-I121)/'Source'!E8</x:f>
        <x:v>0.21558706370739864</x:v>
      </x:c>
      <x:c r="H121" s="11" t="n">
        <x:f>'Source'!H8-I121</x:f>
        <x:v>2306645000</x:v>
      </x:c>
      <x:c r="I121" s="11" t="n">
        <x:f>'Source'!H8*E121</x:f>
        <x:v>407055000</x:v>
      </x:c>
      <x:c r="J121" s="11" t="n">
        <x:f>'Source'!I8*L121</x:f>
        <x:v>80456400</x:v>
      </x:c>
      <x:c r="K121" s="14" t="n">
        <x:f>J121/'Source'!C8</x:f>
        <x:v>0.24930713931581558</x:v>
      </x:c>
      <x:c r="L121" s="14" t="n">
        <x:f>'Assumptions'!E31</x:f>
        <x:v>0.1</x:v>
      </x:c>
      <x:c r="M121" s="14" t="n">
        <x:v>0.135339</x:v>
      </x:c>
      <x:c r="N121" s="14" t="n">
        <x:v>0.215587</x:v>
      </x:c>
      <x:c r="O121" s="1" t="str">
        <x:f>IF(AND(ROUND(F121,6)=M121,ROUND(G121,6)=N121),"PASS","CHECK")</x:f>
        <x:v>PASS</x:v>
      </x:c>
      <x:c r="P121" s="1"/>
    </x:row>
    <x:row r="122">
      <x:c r="A122" s="1" t="str">
        <x:v>JPMorgan Chase</x:v>
      </x:c>
      <x:c r="B122" s="1" t="str">
        <x:v>Severely Adverse</x:v>
      </x:c>
      <x:c r="C122" s="1" t="n">
        <x:v>7</x:v>
      </x:c>
      <x:c r="D122" s="14" t="n">
        <x:f>D121+'Assumptions'!C32</x:f>
        <x:v>-0.014999999999999996</x:v>
      </x:c>
      <x:c r="E122" s="14" t="n">
        <x:f>'Assumptions'!D32</x:f>
        <x:v>0.15</x:v>
      </x:c>
      <x:c r="F122" s="14" t="n">
        <x:f>'Source'!K8+D122</x:f>
        <x:v>0.13633924268088157</x:v>
      </x:c>
      <x:c r="G122" s="14" t="n">
        <x:f>('Source'!F8-'Source'!G8-I122)/'Source'!E8</x:f>
        <x:v>0.21558706370739864</x:v>
      </x:c>
      <x:c r="H122" s="11" t="n">
        <x:f>'Source'!H8-I122</x:f>
        <x:v>2306645000</x:v>
      </x:c>
      <x:c r="I122" s="11" t="n">
        <x:f>'Source'!H8*E122</x:f>
        <x:v>407055000</x:v>
      </x:c>
      <x:c r="J122" s="11" t="n">
        <x:f>'Source'!I8*L122</x:f>
        <x:v>80456400</x:v>
      </x:c>
      <x:c r="K122" s="14" t="n">
        <x:f>J122/'Source'!C8</x:f>
        <x:v>0.24930713931581558</x:v>
      </x:c>
      <x:c r="L122" s="14" t="n">
        <x:f>'Assumptions'!E32</x:f>
        <x:v>0.1</x:v>
      </x:c>
      <x:c r="M122" s="14" t="n">
        <x:v>0.136339</x:v>
      </x:c>
      <x:c r="N122" s="14" t="n">
        <x:v>0.215587</x:v>
      </x:c>
      <x:c r="O122" s="1" t="str">
        <x:f>IF(AND(ROUND(F122,6)=M122,ROUND(G122,6)=N122),"PASS","CHECK")</x:f>
        <x:v>PASS</x:v>
      </x:c>
      <x:c r="P122" s="1"/>
    </x:row>
    <x:row r="123">
      <x:c r="A123" s="1" t="str">
        <x:v>JPMorgan Chase</x:v>
      </x:c>
      <x:c r="B123" s="1" t="str">
        <x:v>Severely Adverse</x:v>
      </x:c>
      <x:c r="C123" s="1" t="n">
        <x:v>8</x:v>
      </x:c>
      <x:c r="D123" s="14" t="n">
        <x:f>D122+'Assumptions'!C33</x:f>
        <x:v>-0.013999999999999995</x:v>
      </x:c>
      <x:c r="E123" s="14" t="n">
        <x:f>'Assumptions'!D33</x:f>
        <x:v>0.15</x:v>
      </x:c>
      <x:c r="F123" s="14" t="n">
        <x:f>'Source'!K8+D123</x:f>
        <x:v>0.13733924268088157</x:v>
      </x:c>
      <x:c r="G123" s="14" t="n">
        <x:f>('Source'!F8-'Source'!G8-I123)/'Source'!E8</x:f>
        <x:v>0.21558706370739864</x:v>
      </x:c>
      <x:c r="H123" s="11" t="n">
        <x:f>'Source'!H8-I123</x:f>
        <x:v>2306645000</x:v>
      </x:c>
      <x:c r="I123" s="11" t="n">
        <x:f>'Source'!H8*E123</x:f>
        <x:v>407055000</x:v>
      </x:c>
      <x:c r="J123" s="11" t="n">
        <x:f>'Source'!I8*L123</x:f>
        <x:v>80456400</x:v>
      </x:c>
      <x:c r="K123" s="14" t="n">
        <x:f>J123/'Source'!C8</x:f>
        <x:v>0.24930713931581558</x:v>
      </x:c>
      <x:c r="L123" s="14" t="n">
        <x:f>'Assumptions'!E33</x:f>
        <x:v>0.1</x:v>
      </x:c>
      <x:c r="M123" s="14" t="n">
        <x:v>0.137339</x:v>
      </x:c>
      <x:c r="N123" s="14" t="n">
        <x:v>0.215587</x:v>
      </x:c>
      <x:c r="O123" s="1" t="str">
        <x:f>IF(AND(ROUND(F123,6)=M123,ROUND(G123,6)=N123),"PASS","CHECK")</x:f>
        <x:v>PASS</x:v>
      </x:c>
      <x:c r="P123" s="1"/>
    </x:row>
    <x:row r="124">
      <x:c r="A124" s="1" t="str">
        <x:v>JPMorgan Chase</x:v>
      </x:c>
      <x:c r="B124" s="1" t="str">
        <x:v>Severely Adverse</x:v>
      </x:c>
      <x:c r="C124" s="1" t="n">
        <x:v>9</x:v>
      </x:c>
      <x:c r="D124" s="14" t="n">
        <x:f>D123+'Assumptions'!C34</x:f>
        <x:v>-0.012999999999999994</x:v>
      </x:c>
      <x:c r="E124" s="14" t="n">
        <x:f>'Assumptions'!D34</x:f>
        <x:v>0.15</x:v>
      </x:c>
      <x:c r="F124" s="14" t="n">
        <x:f>'Source'!K8+D124</x:f>
        <x:v>0.13833924268088157</x:v>
      </x:c>
      <x:c r="G124" s="14" t="n">
        <x:f>('Source'!F8-'Source'!G8-I124)/'Source'!E8</x:f>
        <x:v>0.21558706370739864</x:v>
      </x:c>
      <x:c r="H124" s="11" t="n">
        <x:f>'Source'!H8-I124</x:f>
        <x:v>2306645000</x:v>
      </x:c>
      <x:c r="I124" s="11" t="n">
        <x:f>'Source'!H8*E124</x:f>
        <x:v>407055000</x:v>
      </x:c>
      <x:c r="J124" s="11" t="n">
        <x:f>'Source'!I8*L124</x:f>
        <x:v>80456400</x:v>
      </x:c>
      <x:c r="K124" s="14" t="n">
        <x:f>J124/'Source'!C8</x:f>
        <x:v>0.24930713931581558</x:v>
      </x:c>
      <x:c r="L124" s="14" t="n">
        <x:f>'Assumptions'!E34</x:f>
        <x:v>0.1</x:v>
      </x:c>
      <x:c r="M124" s="14" t="n">
        <x:v>0.138339</x:v>
      </x:c>
      <x:c r="N124" s="14" t="n">
        <x:v>0.215587</x:v>
      </x:c>
      <x:c r="O124" s="1" t="str">
        <x:f>IF(AND(ROUND(F124,6)=M124,ROUND(G124,6)=N124),"PASS","CHECK")</x:f>
        <x:v>PASS</x:v>
      </x:c>
      <x:c r="P124" s="1"/>
    </x:row>
    <x:row r="125">
      <x:c r="A125" s="1" t="str">
        <x:v>Wells Fargo</x:v>
      </x:c>
      <x:c r="B125" s="1" t="str">
        <x:v>Baseline</x:v>
      </x:c>
      <x:c r="C125" s="1" t="n">
        <x:v>0</x:v>
      </x:c>
      <x:c r="D125" s="14" t="n">
        <x:f>'Assumptions'!C5</x:f>
        <x:v>0</x:v>
      </x:c>
      <x:c r="E125" s="14" t="n">
        <x:f>'Assumptions'!D5</x:f>
        <x:v>0</x:v>
      </x:c>
      <x:c r="F125" s="14" t="n">
        <x:f>'Source'!K9+D125</x:f>
        <x:v>0.11378543676929191</x:v>
      </x:c>
      <x:c r="G125" s="14" t="n">
        <x:f>('Source'!F9-'Source'!G9-I125)/'Source'!E9</x:f>
        <x:v>0.3626393994218739</x:v>
      </x:c>
      <x:c r="H125" s="11" t="n">
        <x:f>'Source'!H9-I125</x:f>
        <x:v>1501476000</x:v>
      </x:c>
      <x:c r="I125" s="11" t="n">
        <x:f>'Source'!H9*E125</x:f>
        <x:v>0</x:v>
      </x:c>
      <x:c r="J125" s="11" t="n">
        <x:f>'Source'!I9*L125</x:f>
        <x:v>0</x:v>
      </x:c>
      <x:c r="K125" s="14" t="n">
        <x:f>J125/'Source'!C9</x:f>
        <x:v>0</x:v>
      </x:c>
      <x:c r="L125" s="14" t="n">
        <x:f>'Assumptions'!E5</x:f>
        <x:v>0</x:v>
      </x:c>
      <x:c r="M125" s="14" t="n">
        <x:v>0.113785</x:v>
      </x:c>
      <x:c r="N125" s="14" t="n">
        <x:v>0.362639</x:v>
      </x:c>
      <x:c r="O125" s="1" t="str">
        <x:f>IF(AND(ROUND(F125,6)=M125,ROUND(G125,6)=N125),"PASS","CHECK")</x:f>
        <x:v>PASS</x:v>
      </x:c>
      <x:c r="P125" s="1"/>
    </x:row>
    <x:row r="126">
      <x:c r="A126" s="1" t="str">
        <x:v>Wells Fargo</x:v>
      </x:c>
      <x:c r="B126" s="1" t="str">
        <x:v>Baseline</x:v>
      </x:c>
      <x:c r="C126" s="1" t="n">
        <x:v>1</x:v>
      </x:c>
      <x:c r="D126" s="14" t="n">
        <x:f>D125+'Assumptions'!C6</x:f>
        <x:v>0.0003333333333333333</x:v>
      </x:c>
      <x:c r="E126" s="14" t="n">
        <x:f>'Assumptions'!D6</x:f>
        <x:v>0</x:v>
      </x:c>
      <x:c r="F126" s="14" t="n">
        <x:f>'Source'!K9+D126</x:f>
        <x:v>0.11411877010262525</x:v>
      </x:c>
      <x:c r="G126" s="14" t="n">
        <x:f>('Source'!F9-'Source'!G9-I126)/'Source'!E9</x:f>
        <x:v>0.3626393994218739</x:v>
      </x:c>
      <x:c r="H126" s="11" t="n">
        <x:f>'Source'!H9-I126</x:f>
        <x:v>1501476000</x:v>
      </x:c>
      <x:c r="I126" s="11" t="n">
        <x:f>'Source'!H9*E126</x:f>
        <x:v>0</x:v>
      </x:c>
      <x:c r="J126" s="11" t="n">
        <x:f>'Source'!I9*L126</x:f>
        <x:v>0</x:v>
      </x:c>
      <x:c r="K126" s="14" t="n">
        <x:f>J126/'Source'!C9</x:f>
        <x:v>0</x:v>
      </x:c>
      <x:c r="L126" s="14" t="n">
        <x:f>'Assumptions'!E6</x:f>
        <x:v>0</x:v>
      </x:c>
      <x:c r="M126" s="14" t="n">
        <x:v>0.114119</x:v>
      </x:c>
      <x:c r="N126" s="14" t="n">
        <x:v>0.362639</x:v>
      </x:c>
      <x:c r="O126" s="1" t="str">
        <x:f>IF(AND(ROUND(F126,6)=M126,ROUND(G126,6)=N126),"PASS","CHECK")</x:f>
        <x:v>PASS</x:v>
      </x:c>
      <x:c r="P126" s="1"/>
    </x:row>
    <x:row r="127">
      <x:c r="A127" s="1" t="str">
        <x:v>Wells Fargo</x:v>
      </x:c>
      <x:c r="B127" s="1" t="str">
        <x:v>Baseline</x:v>
      </x:c>
      <x:c r="C127" s="1" t="n">
        <x:v>2</x:v>
      </x:c>
      <x:c r="D127" s="14" t="n">
        <x:f>D126+'Assumptions'!C7</x:f>
        <x:v>0.0006666666666666666</x:v>
      </x:c>
      <x:c r="E127" s="14" t="n">
        <x:f>'Assumptions'!D7</x:f>
        <x:v>0</x:v>
      </x:c>
      <x:c r="F127" s="14" t="n">
        <x:f>'Source'!K9+D127</x:f>
        <x:v>0.11445210343595857</x:v>
      </x:c>
      <x:c r="G127" s="14" t="n">
        <x:f>('Source'!F9-'Source'!G9-I127)/'Source'!E9</x:f>
        <x:v>0.3626393994218739</x:v>
      </x:c>
      <x:c r="H127" s="11" t="n">
        <x:f>'Source'!H9-I127</x:f>
        <x:v>1501476000</x:v>
      </x:c>
      <x:c r="I127" s="11" t="n">
        <x:f>'Source'!H9*E127</x:f>
        <x:v>0</x:v>
      </x:c>
      <x:c r="J127" s="11" t="n">
        <x:f>'Source'!I9*L127</x:f>
        <x:v>0</x:v>
      </x:c>
      <x:c r="K127" s="14" t="n">
        <x:f>J127/'Source'!C9</x:f>
        <x:v>0</x:v>
      </x:c>
      <x:c r="L127" s="14" t="n">
        <x:f>'Assumptions'!E7</x:f>
        <x:v>0</x:v>
      </x:c>
      <x:c r="M127" s="14" t="n">
        <x:v>0.114452</x:v>
      </x:c>
      <x:c r="N127" s="14" t="n">
        <x:v>0.362639</x:v>
      </x:c>
      <x:c r="O127" s="1" t="str">
        <x:f>IF(AND(ROUND(F127,6)=M127,ROUND(G127,6)=N127),"PASS","CHECK")</x:f>
        <x:v>PASS</x:v>
      </x:c>
      <x:c r="P127" s="1"/>
    </x:row>
    <x:row r="128">
      <x:c r="A128" s="1" t="str">
        <x:v>Wells Fargo</x:v>
      </x:c>
      <x:c r="B128" s="1" t="str">
        <x:v>Baseline</x:v>
      </x:c>
      <x:c r="C128" s="1" t="n">
        <x:v>3</x:v>
      </x:c>
      <x:c r="D128" s="14" t="n">
        <x:f>D127+'Assumptions'!C8</x:f>
        <x:v>0.001</x:v>
      </x:c>
      <x:c r="E128" s="14" t="n">
        <x:f>'Assumptions'!D8</x:f>
        <x:v>0</x:v>
      </x:c>
      <x:c r="F128" s="14" t="n">
        <x:f>'Source'!K9+D128</x:f>
        <x:v>0.11478543676929191</x:v>
      </x:c>
      <x:c r="G128" s="14" t="n">
        <x:f>('Source'!F9-'Source'!G9-I128)/'Source'!E9</x:f>
        <x:v>0.3626393994218739</x:v>
      </x:c>
      <x:c r="H128" s="11" t="n">
        <x:f>'Source'!H9-I128</x:f>
        <x:v>1501476000</x:v>
      </x:c>
      <x:c r="I128" s="11" t="n">
        <x:f>'Source'!H9*E128</x:f>
        <x:v>0</x:v>
      </x:c>
      <x:c r="J128" s="11" t="n">
        <x:f>'Source'!I9*L128</x:f>
        <x:v>0</x:v>
      </x:c>
      <x:c r="K128" s="14" t="n">
        <x:f>J128/'Source'!C9</x:f>
        <x:v>0</x:v>
      </x:c>
      <x:c r="L128" s="14" t="n">
        <x:f>'Assumptions'!E8</x:f>
        <x:v>0</x:v>
      </x:c>
      <x:c r="M128" s="14" t="n">
        <x:v>0.114785</x:v>
      </x:c>
      <x:c r="N128" s="14" t="n">
        <x:v>0.362639</x:v>
      </x:c>
      <x:c r="O128" s="1" t="str">
        <x:f>IF(AND(ROUND(F128,6)=M128,ROUND(G128,6)=N128),"PASS","CHECK")</x:f>
        <x:v>PASS</x:v>
      </x:c>
      <x:c r="P128" s="1"/>
    </x:row>
    <x:row r="129">
      <x:c r="A129" s="1" t="str">
        <x:v>Wells Fargo</x:v>
      </x:c>
      <x:c r="B129" s="1" t="str">
        <x:v>Baseline</x:v>
      </x:c>
      <x:c r="C129" s="1" t="n">
        <x:v>4</x:v>
      </x:c>
      <x:c r="D129" s="14" t="n">
        <x:f>D128+'Assumptions'!C9</x:f>
        <x:v>0.0013333333333333333</x:v>
      </x:c>
      <x:c r="E129" s="14" t="n">
        <x:f>'Assumptions'!D9</x:f>
        <x:v>0</x:v>
      </x:c>
      <x:c r="F129" s="14" t="n">
        <x:f>'Source'!K9+D129</x:f>
        <x:v>0.11511877010262525</x:v>
      </x:c>
      <x:c r="G129" s="14" t="n">
        <x:f>('Source'!F9-'Source'!G9-I129)/'Source'!E9</x:f>
        <x:v>0.3626393994218739</x:v>
      </x:c>
      <x:c r="H129" s="11" t="n">
        <x:f>'Source'!H9-I129</x:f>
        <x:v>1501476000</x:v>
      </x:c>
      <x:c r="I129" s="11" t="n">
        <x:f>'Source'!H9*E129</x:f>
        <x:v>0</x:v>
      </x:c>
      <x:c r="J129" s="11" t="n">
        <x:f>'Source'!I9*L129</x:f>
        <x:v>0</x:v>
      </x:c>
      <x:c r="K129" s="14" t="n">
        <x:f>J129/'Source'!C9</x:f>
        <x:v>0</x:v>
      </x:c>
      <x:c r="L129" s="14" t="n">
        <x:f>'Assumptions'!E9</x:f>
        <x:v>0</x:v>
      </x:c>
      <x:c r="M129" s="14" t="n">
        <x:v>0.115119</x:v>
      </x:c>
      <x:c r="N129" s="14" t="n">
        <x:v>0.362639</x:v>
      </x:c>
      <x:c r="O129" s="1" t="str">
        <x:f>IF(AND(ROUND(F129,6)=M129,ROUND(G129,6)=N129),"PASS","CHECK")</x:f>
        <x:v>PASS</x:v>
      </x:c>
      <x:c r="P129" s="1"/>
    </x:row>
    <x:row r="130">
      <x:c r="A130" s="1" t="str">
        <x:v>Wells Fargo</x:v>
      </x:c>
      <x:c r="B130" s="1" t="str">
        <x:v>Baseline</x:v>
      </x:c>
      <x:c r="C130" s="1" t="n">
        <x:v>5</x:v>
      </x:c>
      <x:c r="D130" s="14" t="n">
        <x:f>D129+'Assumptions'!C10</x:f>
        <x:v>0.0016666666666666666</x:v>
      </x:c>
      <x:c r="E130" s="14" t="n">
        <x:f>'Assumptions'!D10</x:f>
        <x:v>0</x:v>
      </x:c>
      <x:c r="F130" s="14" t="n">
        <x:f>'Source'!K9+D130</x:f>
        <x:v>0.11545210343595858</x:v>
      </x:c>
      <x:c r="G130" s="14" t="n">
        <x:f>('Source'!F9-'Source'!G9-I130)/'Source'!E9</x:f>
        <x:v>0.3626393994218739</x:v>
      </x:c>
      <x:c r="H130" s="11" t="n">
        <x:f>'Source'!H9-I130</x:f>
        <x:v>1501476000</x:v>
      </x:c>
      <x:c r="I130" s="11" t="n">
        <x:f>'Source'!H9*E130</x:f>
        <x:v>0</x:v>
      </x:c>
      <x:c r="J130" s="11" t="n">
        <x:f>'Source'!I9*L130</x:f>
        <x:v>0</x:v>
      </x:c>
      <x:c r="K130" s="14" t="n">
        <x:f>J130/'Source'!C9</x:f>
        <x:v>0</x:v>
      </x:c>
      <x:c r="L130" s="14" t="n">
        <x:f>'Assumptions'!E10</x:f>
        <x:v>0</x:v>
      </x:c>
      <x:c r="M130" s="14" t="n">
        <x:v>0.115452</x:v>
      </x:c>
      <x:c r="N130" s="14" t="n">
        <x:v>0.362639</x:v>
      </x:c>
      <x:c r="O130" s="1" t="str">
        <x:f>IF(AND(ROUND(F130,6)=M130,ROUND(G130,6)=N130),"PASS","CHECK")</x:f>
        <x:v>PASS</x:v>
      </x:c>
      <x:c r="P130" s="1"/>
    </x:row>
    <x:row r="131">
      <x:c r="A131" s="1" t="str">
        <x:v>Wells Fargo</x:v>
      </x:c>
      <x:c r="B131" s="1" t="str">
        <x:v>Baseline</x:v>
      </x:c>
      <x:c r="C131" s="1" t="n">
        <x:v>6</x:v>
      </x:c>
      <x:c r="D131" s="14" t="n">
        <x:f>D130+'Assumptions'!C11</x:f>
        <x:v>0.002</x:v>
      </x:c>
      <x:c r="E131" s="14" t="n">
        <x:f>'Assumptions'!D11</x:f>
        <x:v>0</x:v>
      </x:c>
      <x:c r="F131" s="14" t="n">
        <x:f>'Source'!K9+D131</x:f>
        <x:v>0.11578543676929191</x:v>
      </x:c>
      <x:c r="G131" s="14" t="n">
        <x:f>('Source'!F9-'Source'!G9-I131)/'Source'!E9</x:f>
        <x:v>0.3626393994218739</x:v>
      </x:c>
      <x:c r="H131" s="11" t="n">
        <x:f>'Source'!H9-I131</x:f>
        <x:v>1501476000</x:v>
      </x:c>
      <x:c r="I131" s="11" t="n">
        <x:f>'Source'!H9*E131</x:f>
        <x:v>0</x:v>
      </x:c>
      <x:c r="J131" s="11" t="n">
        <x:f>'Source'!I9*L131</x:f>
        <x:v>0</x:v>
      </x:c>
      <x:c r="K131" s="14" t="n">
        <x:f>J131/'Source'!C9</x:f>
        <x:v>0</x:v>
      </x:c>
      <x:c r="L131" s="14" t="n">
        <x:f>'Assumptions'!E11</x:f>
        <x:v>0</x:v>
      </x:c>
      <x:c r="M131" s="14" t="n">
        <x:v>0.115785</x:v>
      </x:c>
      <x:c r="N131" s="14" t="n">
        <x:v>0.362639</x:v>
      </x:c>
      <x:c r="O131" s="1" t="str">
        <x:f>IF(AND(ROUND(F131,6)=M131,ROUND(G131,6)=N131),"PASS","CHECK")</x:f>
        <x:v>PASS</x:v>
      </x:c>
      <x:c r="P131" s="1"/>
    </x:row>
    <x:row r="132">
      <x:c r="A132" s="1" t="str">
        <x:v>Wells Fargo</x:v>
      </x:c>
      <x:c r="B132" s="1" t="str">
        <x:v>Baseline</x:v>
      </x:c>
      <x:c r="C132" s="1" t="n">
        <x:v>7</x:v>
      </x:c>
      <x:c r="D132" s="14" t="n">
        <x:f>D131+'Assumptions'!C12</x:f>
        <x:v>0.0023333333333333335</x:v>
      </x:c>
      <x:c r="E132" s="14" t="n">
        <x:f>'Assumptions'!D12</x:f>
        <x:v>0</x:v>
      </x:c>
      <x:c r="F132" s="14" t="n">
        <x:f>'Source'!K9+D132</x:f>
        <x:v>0.11611877010262525</x:v>
      </x:c>
      <x:c r="G132" s="14" t="n">
        <x:f>('Source'!F9-'Source'!G9-I132)/'Source'!E9</x:f>
        <x:v>0.3626393994218739</x:v>
      </x:c>
      <x:c r="H132" s="11" t="n">
        <x:f>'Source'!H9-I132</x:f>
        <x:v>1501476000</x:v>
      </x:c>
      <x:c r="I132" s="11" t="n">
        <x:f>'Source'!H9*E132</x:f>
        <x:v>0</x:v>
      </x:c>
      <x:c r="J132" s="11" t="n">
        <x:f>'Source'!I9*L132</x:f>
        <x:v>0</x:v>
      </x:c>
      <x:c r="K132" s="14" t="n">
        <x:f>J132/'Source'!C9</x:f>
        <x:v>0</x:v>
      </x:c>
      <x:c r="L132" s="14" t="n">
        <x:f>'Assumptions'!E12</x:f>
        <x:v>0</x:v>
      </x:c>
      <x:c r="M132" s="14" t="n">
        <x:v>0.116119</x:v>
      </x:c>
      <x:c r="N132" s="14" t="n">
        <x:v>0.362639</x:v>
      </x:c>
      <x:c r="O132" s="1" t="str">
        <x:f>IF(AND(ROUND(F132,6)=M132,ROUND(G132,6)=N132),"PASS","CHECK")</x:f>
        <x:v>PASS</x:v>
      </x:c>
      <x:c r="P132" s="1"/>
    </x:row>
    <x:row r="133">
      <x:c r="A133" s="1" t="str">
        <x:v>Wells Fargo</x:v>
      </x:c>
      <x:c r="B133" s="1" t="str">
        <x:v>Baseline</x:v>
      </x:c>
      <x:c r="C133" s="1" t="n">
        <x:v>8</x:v>
      </x:c>
      <x:c r="D133" s="14" t="n">
        <x:f>D132+'Assumptions'!C13</x:f>
        <x:v>0.002666666666666667</x:v>
      </x:c>
      <x:c r="E133" s="14" t="n">
        <x:f>'Assumptions'!D13</x:f>
        <x:v>0</x:v>
      </x:c>
      <x:c r="F133" s="14" t="n">
        <x:f>'Source'!K9+D133</x:f>
        <x:v>0.11645210343595858</x:v>
      </x:c>
      <x:c r="G133" s="14" t="n">
        <x:f>('Source'!F9-'Source'!G9-I133)/'Source'!E9</x:f>
        <x:v>0.3626393994218739</x:v>
      </x:c>
      <x:c r="H133" s="11" t="n">
        <x:f>'Source'!H9-I133</x:f>
        <x:v>1501476000</x:v>
      </x:c>
      <x:c r="I133" s="11" t="n">
        <x:f>'Source'!H9*E133</x:f>
        <x:v>0</x:v>
      </x:c>
      <x:c r="J133" s="11" t="n">
        <x:f>'Source'!I9*L133</x:f>
        <x:v>0</x:v>
      </x:c>
      <x:c r="K133" s="14" t="n">
        <x:f>J133/'Source'!C9</x:f>
        <x:v>0</x:v>
      </x:c>
      <x:c r="L133" s="14" t="n">
        <x:f>'Assumptions'!E13</x:f>
        <x:v>0</x:v>
      </x:c>
      <x:c r="M133" s="14" t="n">
        <x:v>0.116452</x:v>
      </x:c>
      <x:c r="N133" s="14" t="n">
        <x:v>0.362639</x:v>
      </x:c>
      <x:c r="O133" s="1" t="str">
        <x:f>IF(AND(ROUND(F133,6)=M133,ROUND(G133,6)=N133),"PASS","CHECK")</x:f>
        <x:v>PASS</x:v>
      </x:c>
      <x:c r="P133" s="1"/>
    </x:row>
    <x:row r="134">
      <x:c r="A134" s="1" t="str">
        <x:v>Wells Fargo</x:v>
      </x:c>
      <x:c r="B134" s="1" t="str">
        <x:v>Baseline</x:v>
      </x:c>
      <x:c r="C134" s="1" t="n">
        <x:v>9</x:v>
      </x:c>
      <x:c r="D134" s="14" t="n">
        <x:f>D133+'Assumptions'!C14</x:f>
        <x:v>0.0030000000000000005</x:v>
      </x:c>
      <x:c r="E134" s="14" t="n">
        <x:f>'Assumptions'!D14</x:f>
        <x:v>0</x:v>
      </x:c>
      <x:c r="F134" s="14" t="n">
        <x:f>'Source'!K9+D134</x:f>
        <x:v>0.11678543676929191</x:v>
      </x:c>
      <x:c r="G134" s="14" t="n">
        <x:f>('Source'!F9-'Source'!G9-I134)/'Source'!E9</x:f>
        <x:v>0.3626393994218739</x:v>
      </x:c>
      <x:c r="H134" s="11" t="n">
        <x:f>'Source'!H9-I134</x:f>
        <x:v>1501476000</x:v>
      </x:c>
      <x:c r="I134" s="11" t="n">
        <x:f>'Source'!H9*E134</x:f>
        <x:v>0</x:v>
      </x:c>
      <x:c r="J134" s="11" t="n">
        <x:f>'Source'!I9*L134</x:f>
        <x:v>0</x:v>
      </x:c>
      <x:c r="K134" s="14" t="n">
        <x:f>J134/'Source'!C9</x:f>
        <x:v>0</x:v>
      </x:c>
      <x:c r="L134" s="14" t="n">
        <x:f>'Assumptions'!E14</x:f>
        <x:v>0</x:v>
      </x:c>
      <x:c r="M134" s="14" t="n">
        <x:v>0.116785</x:v>
      </x:c>
      <x:c r="N134" s="14" t="n">
        <x:v>0.362639</x:v>
      </x:c>
      <x:c r="O134" s="1" t="str">
        <x:f>IF(AND(ROUND(F134,6)=M134,ROUND(G134,6)=N134),"PASS","CHECK")</x:f>
        <x:v>PASS</x:v>
      </x:c>
      <x:c r="P134" s="1"/>
    </x:row>
    <x:row r="135">
      <x:c r="A135" s="1" t="str">
        <x:v>Wells Fargo</x:v>
      </x:c>
      <x:c r="B135" s="1" t="str">
        <x:v>Adverse</x:v>
      </x:c>
      <x:c r="C135" s="1" t="n">
        <x:v>0</x:v>
      </x:c>
      <x:c r="D135" s="14" t="n">
        <x:f>'Assumptions'!C15</x:f>
        <x:v>0</x:v>
      </x:c>
      <x:c r="E135" s="14" t="n">
        <x:f>'Assumptions'!D15</x:f>
        <x:v>0</x:v>
      </x:c>
      <x:c r="F135" s="14" t="n">
        <x:f>'Source'!K9+D135</x:f>
        <x:v>0.11378543676929191</x:v>
      </x:c>
      <x:c r="G135" s="14" t="n">
        <x:f>('Source'!F9-'Source'!G9-I135)/'Source'!E9</x:f>
        <x:v>0.3626393994218739</x:v>
      </x:c>
      <x:c r="H135" s="11" t="n">
        <x:f>'Source'!H9-I135</x:f>
        <x:v>1501476000</x:v>
      </x:c>
      <x:c r="I135" s="11" t="n">
        <x:f>'Source'!H9*E135</x:f>
        <x:v>0</x:v>
      </x:c>
      <x:c r="J135" s="11" t="n">
        <x:f>'Source'!I9*L135</x:f>
        <x:v>0</x:v>
      </x:c>
      <x:c r="K135" s="14" t="n">
        <x:f>J135/'Source'!C9</x:f>
        <x:v>0</x:v>
      </x:c>
      <x:c r="L135" s="14" t="n">
        <x:f>'Assumptions'!E15</x:f>
        <x:v>0</x:v>
      </x:c>
      <x:c r="M135" s="14" t="n">
        <x:v>0.113785</x:v>
      </x:c>
      <x:c r="N135" s="14" t="n">
        <x:v>0.362639</x:v>
      </x:c>
      <x:c r="O135" s="1" t="str">
        <x:f>IF(AND(ROUND(F135,6)=M135,ROUND(G135,6)=N135),"PASS","CHECK")</x:f>
        <x:v>PASS</x:v>
      </x:c>
      <x:c r="P135" s="1"/>
    </x:row>
    <x:row r="136">
      <x:c r="A136" s="1" t="str">
        <x:v>Wells Fargo</x:v>
      </x:c>
      <x:c r="B136" s="1" t="str">
        <x:v>Adverse</x:v>
      </x:c>
      <x:c r="C136" s="1" t="n">
        <x:v>1</x:v>
      </x:c>
      <x:c r="D136" s="14" t="n">
        <x:f>D135+'Assumptions'!C16</x:f>
        <x:v>-0.002</x:v>
      </x:c>
      <x:c r="E136" s="14" t="n">
        <x:f>'Assumptions'!D16</x:f>
        <x:v>0.0125</x:v>
      </x:c>
      <x:c r="F136" s="14" t="n">
        <x:f>'Source'!K9+D136</x:f>
        <x:v>0.11178543676929191</x:v>
      </x:c>
      <x:c r="G136" s="14" t="n">
        <x:f>('Source'!F9-'Source'!G9-I136)/'Source'!E9</x:f>
        <x:v>0.35441556199475854</x:v>
      </x:c>
      <x:c r="H136" s="11" t="n">
        <x:f>'Source'!H9-I136</x:f>
        <x:v>1482707550</x:v>
      </x:c>
      <x:c r="I136" s="11" t="n">
        <x:f>'Source'!H9*E136</x:f>
        <x:v>18768450</x:v>
      </x:c>
      <x:c r="J136" s="11" t="n">
        <x:f>'Source'!I9*L136</x:f>
        <x:v>3367440</x:v>
      </x:c>
      <x:c r="K136" s="14" t="n">
        <x:f>J136/'Source'!C9</x:f>
        <x:v>0.02204731008203644</x:v>
      </x:c>
      <x:c r="L136" s="14" t="n">
        <x:f>'Assumptions'!E16</x:f>
        <x:v>0.0075</x:v>
      </x:c>
      <x:c r="M136" s="14" t="n">
        <x:v>0.111785</x:v>
      </x:c>
      <x:c r="N136" s="14" t="n">
        <x:v>0.354416</x:v>
      </x:c>
      <x:c r="O136" s="1" t="str">
        <x:f>IF(AND(ROUND(F136,6)=M136,ROUND(G136,6)=N136),"PASS","CHECK")</x:f>
        <x:v>PASS</x:v>
      </x:c>
      <x:c r="P136" s="1"/>
    </x:row>
    <x:row r="137">
      <x:c r="A137" s="1" t="str">
        <x:v>Wells Fargo</x:v>
      </x:c>
      <x:c r="B137" s="1" t="str">
        <x:v>Adverse</x:v>
      </x:c>
      <x:c r="C137" s="1" t="n">
        <x:v>2</x:v>
      </x:c>
      <x:c r="D137" s="14" t="n">
        <x:f>D136+'Assumptions'!C17</x:f>
        <x:v>-0.004</x:v>
      </x:c>
      <x:c r="E137" s="14" t="n">
        <x:f>'Assumptions'!D17</x:f>
        <x:v>0.025</x:v>
      </x:c>
      <x:c r="F137" s="14" t="n">
        <x:f>'Source'!K9+D137</x:f>
        <x:v>0.10978543676929191</x:v>
      </x:c>
      <x:c r="G137" s="14" t="n">
        <x:f>('Source'!F9-'Source'!G9-I137)/'Source'!E9</x:f>
        <x:v>0.34619172456764324</x:v>
      </x:c>
      <x:c r="H137" s="11" t="n">
        <x:f>'Source'!H9-I137</x:f>
        <x:v>1463939100</x:v>
      </x:c>
      <x:c r="I137" s="11" t="n">
        <x:f>'Source'!H9*E137</x:f>
        <x:v>37536900</x:v>
      </x:c>
      <x:c r="J137" s="11" t="n">
        <x:f>'Source'!I9*L137</x:f>
        <x:v>6734880</x:v>
      </x:c>
      <x:c r="K137" s="14" t="n">
        <x:f>J137/'Source'!C9</x:f>
        <x:v>0.04409462016407288</x:v>
      </x:c>
      <x:c r="L137" s="14" t="n">
        <x:f>'Assumptions'!E17</x:f>
        <x:v>0.015</x:v>
      </x:c>
      <x:c r="M137" s="14" t="n">
        <x:v>0.109785</x:v>
      </x:c>
      <x:c r="N137" s="14" t="n">
        <x:v>0.346192</x:v>
      </x:c>
      <x:c r="O137" s="1" t="str">
        <x:f>IF(AND(ROUND(F137,6)=M137,ROUND(G137,6)=N137),"PASS","CHECK")</x:f>
        <x:v>PASS</x:v>
      </x:c>
      <x:c r="P137" s="1"/>
    </x:row>
    <x:row r="138">
      <x:c r="A138" s="1" t="str">
        <x:v>Wells Fargo</x:v>
      </x:c>
      <x:c r="B138" s="1" t="str">
        <x:v>Adverse</x:v>
      </x:c>
      <x:c r="C138" s="1" t="n">
        <x:v>3</x:v>
      </x:c>
      <x:c r="D138" s="14" t="n">
        <x:f>D137+'Assumptions'!C18</x:f>
        <x:v>-0.006</x:v>
      </x:c>
      <x:c r="E138" s="14" t="n">
        <x:f>'Assumptions'!D18</x:f>
        <x:v>0.037500000000000006</x:v>
      </x:c>
      <x:c r="F138" s="14" t="n">
        <x:f>'Source'!K9+D138</x:f>
        <x:v>0.1077854367692919</x:v>
      </x:c>
      <x:c r="G138" s="14" t="n">
        <x:f>('Source'!F9-'Source'!G9-I138)/'Source'!E9</x:f>
        <x:v>0.33796788714052795</x:v>
      </x:c>
      <x:c r="H138" s="11" t="n">
        <x:f>'Source'!H9-I138</x:f>
        <x:v>1445170650</x:v>
      </x:c>
      <x:c r="I138" s="11" t="n">
        <x:f>'Source'!H9*E138</x:f>
        <x:v>56305350.00000001</x:v>
      </x:c>
      <x:c r="J138" s="11" t="n">
        <x:f>'Source'!I9*L138</x:f>
        <x:v>10102320</x:v>
      </x:c>
      <x:c r="K138" s="14" t="n">
        <x:f>J138/'Source'!C9</x:f>
        <x:v>0.06614193024610933</x:v>
      </x:c>
      <x:c r="L138" s="14" t="n">
        <x:f>'Assumptions'!E18</x:f>
        <x:v>0.0225</x:v>
      </x:c>
      <x:c r="M138" s="14" t="n">
        <x:v>0.107785</x:v>
      </x:c>
      <x:c r="N138" s="14" t="n">
        <x:v>0.337968</x:v>
      </x:c>
      <x:c r="O138" s="1" t="str">
        <x:f>IF(AND(ROUND(F138,6)=M138,ROUND(G138,6)=N138),"PASS","CHECK")</x:f>
        <x:v>PASS</x:v>
      </x:c>
      <x:c r="P138" s="1"/>
    </x:row>
    <x:row r="139">
      <x:c r="A139" s="1" t="str">
        <x:v>Wells Fargo</x:v>
      </x:c>
      <x:c r="B139" s="1" t="str">
        <x:v>Adverse</x:v>
      </x:c>
      <x:c r="C139" s="1" t="n">
        <x:v>4</x:v>
      </x:c>
      <x:c r="D139" s="14" t="n">
        <x:f>D138+'Assumptions'!C19</x:f>
        <x:v>-0.008</x:v>
      </x:c>
      <x:c r="E139" s="14" t="n">
        <x:f>'Assumptions'!D19</x:f>
        <x:v>0.05</x:v>
      </x:c>
      <x:c r="F139" s="14" t="n">
        <x:f>'Source'!K9+D139</x:f>
        <x:v>0.10578543676929192</x:v>
      </x:c>
      <x:c r="G139" s="14" t="n">
        <x:f>('Source'!F9-'Source'!G9-I139)/'Source'!E9</x:f>
        <x:v>0.32974404971341265</x:v>
      </x:c>
      <x:c r="H139" s="11" t="n">
        <x:f>'Source'!H9-I139</x:f>
        <x:v>1426402200</x:v>
      </x:c>
      <x:c r="I139" s="11" t="n">
        <x:f>'Source'!H9*E139</x:f>
        <x:v>75073800</x:v>
      </x:c>
      <x:c r="J139" s="11" t="n">
        <x:f>'Source'!I9*L139</x:f>
        <x:v>13469760</x:v>
      </x:c>
      <x:c r="K139" s="14" t="n">
        <x:f>J139/'Source'!C9</x:f>
        <x:v>0.08818924032814576</x:v>
      </x:c>
      <x:c r="L139" s="14" t="n">
        <x:f>'Assumptions'!E19</x:f>
        <x:v>0.03</x:v>
      </x:c>
      <x:c r="M139" s="14" t="n">
        <x:v>0.105785</x:v>
      </x:c>
      <x:c r="N139" s="14" t="n">
        <x:v>0.329744</x:v>
      </x:c>
      <x:c r="O139" s="1" t="str">
        <x:f>IF(AND(ROUND(F139,6)=M139,ROUND(G139,6)=N139),"PASS","CHECK")</x:f>
        <x:v>PASS</x:v>
      </x:c>
      <x:c r="P139" s="1"/>
    </x:row>
    <x:row r="140">
      <x:c r="A140" s="1" t="str">
        <x:v>Wells Fargo</x:v>
      </x:c>
      <x:c r="B140" s="1" t="str">
        <x:v>Adverse</x:v>
      </x:c>
      <x:c r="C140" s="1" t="n">
        <x:v>5</x:v>
      </x:c>
      <x:c r="D140" s="14" t="n">
        <x:f>D139+'Assumptions'!C20</x:f>
        <x:v>-0.01</x:v>
      </x:c>
      <x:c r="E140" s="14" t="n">
        <x:f>'Assumptions'!D20</x:f>
        <x:v>0.05</x:v>
      </x:c>
      <x:c r="F140" s="14" t="n">
        <x:f>'Source'!K9+D140</x:f>
        <x:v>0.10378543676929192</x:v>
      </x:c>
      <x:c r="G140" s="14" t="n">
        <x:f>('Source'!F9-'Source'!G9-I140)/'Source'!E9</x:f>
        <x:v>0.32974404971341265</x:v>
      </x:c>
      <x:c r="H140" s="11" t="n">
        <x:f>'Source'!H9-I140</x:f>
        <x:v>1426402200</x:v>
      </x:c>
      <x:c r="I140" s="11" t="n">
        <x:f>'Source'!H9*E140</x:f>
        <x:v>75073800</x:v>
      </x:c>
      <x:c r="J140" s="11" t="n">
        <x:f>'Source'!I9*L140</x:f>
        <x:v>13469760</x:v>
      </x:c>
      <x:c r="K140" s="14" t="n">
        <x:f>J140/'Source'!C9</x:f>
        <x:v>0.08818924032814576</x:v>
      </x:c>
      <x:c r="L140" s="14" t="n">
        <x:f>'Assumptions'!E20</x:f>
        <x:v>0.03</x:v>
      </x:c>
      <x:c r="M140" s="14" t="n">
        <x:v>0.103785</x:v>
      </x:c>
      <x:c r="N140" s="14" t="n">
        <x:v>0.329744</x:v>
      </x:c>
      <x:c r="O140" s="1" t="str">
        <x:f>IF(AND(ROUND(F140,6)=M140,ROUND(G140,6)=N140),"PASS","CHECK")</x:f>
        <x:v>PASS</x:v>
      </x:c>
      <x:c r="P140" s="1"/>
    </x:row>
    <x:row r="141">
      <x:c r="A141" s="1" t="str">
        <x:v>Wells Fargo</x:v>
      </x:c>
      <x:c r="B141" s="1" t="str">
        <x:v>Adverse</x:v>
      </x:c>
      <x:c r="C141" s="1" t="n">
        <x:v>6</x:v>
      </x:c>
      <x:c r="D141" s="14" t="n">
        <x:f>D140+'Assumptions'!C21</x:f>
        <x:v>-0.01</x:v>
      </x:c>
      <x:c r="E141" s="14" t="n">
        <x:f>'Assumptions'!D21</x:f>
        <x:v>0.05</x:v>
      </x:c>
      <x:c r="F141" s="14" t="n">
        <x:f>'Source'!K9+D141</x:f>
        <x:v>0.10378543676929192</x:v>
      </x:c>
      <x:c r="G141" s="14" t="n">
        <x:f>('Source'!F9-'Source'!G9-I141)/'Source'!E9</x:f>
        <x:v>0.32974404971341265</x:v>
      </x:c>
      <x:c r="H141" s="11" t="n">
        <x:f>'Source'!H9-I141</x:f>
        <x:v>1426402200</x:v>
      </x:c>
      <x:c r="I141" s="11" t="n">
        <x:f>'Source'!H9*E141</x:f>
        <x:v>75073800</x:v>
      </x:c>
      <x:c r="J141" s="11" t="n">
        <x:f>'Source'!I9*L141</x:f>
        <x:v>13469760</x:v>
      </x:c>
      <x:c r="K141" s="14" t="n">
        <x:f>J141/'Source'!C9</x:f>
        <x:v>0.08818924032814576</x:v>
      </x:c>
      <x:c r="L141" s="14" t="n">
        <x:f>'Assumptions'!E21</x:f>
        <x:v>0.03</x:v>
      </x:c>
      <x:c r="M141" s="14" t="n">
        <x:v>0.103785</x:v>
      </x:c>
      <x:c r="N141" s="14" t="n">
        <x:v>0.329744</x:v>
      </x:c>
      <x:c r="O141" s="1" t="str">
        <x:f>IF(AND(ROUND(F141,6)=M141,ROUND(G141,6)=N141),"PASS","CHECK")</x:f>
        <x:v>PASS</x:v>
      </x:c>
      <x:c r="P141" s="1"/>
    </x:row>
    <x:row r="142">
      <x:c r="A142" s="1" t="str">
        <x:v>Wells Fargo</x:v>
      </x:c>
      <x:c r="B142" s="1" t="str">
        <x:v>Adverse</x:v>
      </x:c>
      <x:c r="C142" s="1" t="n">
        <x:v>7</x:v>
      </x:c>
      <x:c r="D142" s="14" t="n">
        <x:f>D141+'Assumptions'!C22</x:f>
        <x:v>-0.01</x:v>
      </x:c>
      <x:c r="E142" s="14" t="n">
        <x:f>'Assumptions'!D22</x:f>
        <x:v>0.05</x:v>
      </x:c>
      <x:c r="F142" s="14" t="n">
        <x:f>'Source'!K9+D142</x:f>
        <x:v>0.10378543676929192</x:v>
      </x:c>
      <x:c r="G142" s="14" t="n">
        <x:f>('Source'!F9-'Source'!G9-I142)/'Source'!E9</x:f>
        <x:v>0.32974404971341265</x:v>
      </x:c>
      <x:c r="H142" s="11" t="n">
        <x:f>'Source'!H9-I142</x:f>
        <x:v>1426402200</x:v>
      </x:c>
      <x:c r="I142" s="11" t="n">
        <x:f>'Source'!H9*E142</x:f>
        <x:v>75073800</x:v>
      </x:c>
      <x:c r="J142" s="11" t="n">
        <x:f>'Source'!I9*L142</x:f>
        <x:v>13469760</x:v>
      </x:c>
      <x:c r="K142" s="14" t="n">
        <x:f>J142/'Source'!C9</x:f>
        <x:v>0.08818924032814576</x:v>
      </x:c>
      <x:c r="L142" s="14" t="n">
        <x:f>'Assumptions'!E22</x:f>
        <x:v>0.03</x:v>
      </x:c>
      <x:c r="M142" s="14" t="n">
        <x:v>0.103785</x:v>
      </x:c>
      <x:c r="N142" s="14" t="n">
        <x:v>0.329744</x:v>
      </x:c>
      <x:c r="O142" s="1" t="str">
        <x:f>IF(AND(ROUND(F142,6)=M142,ROUND(G142,6)=N142),"PASS","CHECK")</x:f>
        <x:v>PASS</x:v>
      </x:c>
      <x:c r="P142" s="1"/>
    </x:row>
    <x:row r="143">
      <x:c r="A143" s="1" t="str">
        <x:v>Wells Fargo</x:v>
      </x:c>
      <x:c r="B143" s="1" t="str">
        <x:v>Adverse</x:v>
      </x:c>
      <x:c r="C143" s="1" t="n">
        <x:v>8</x:v>
      </x:c>
      <x:c r="D143" s="14" t="n">
        <x:f>D142+'Assumptions'!C23</x:f>
        <x:v>-0.01</x:v>
      </x:c>
      <x:c r="E143" s="14" t="n">
        <x:f>'Assumptions'!D23</x:f>
        <x:v>0.05</x:v>
      </x:c>
      <x:c r="F143" s="14" t="n">
        <x:f>'Source'!K9+D143</x:f>
        <x:v>0.10378543676929192</x:v>
      </x:c>
      <x:c r="G143" s="14" t="n">
        <x:f>('Source'!F9-'Source'!G9-I143)/'Source'!E9</x:f>
        <x:v>0.32974404971341265</x:v>
      </x:c>
      <x:c r="H143" s="11" t="n">
        <x:f>'Source'!H9-I143</x:f>
        <x:v>1426402200</x:v>
      </x:c>
      <x:c r="I143" s="11" t="n">
        <x:f>'Source'!H9*E143</x:f>
        <x:v>75073800</x:v>
      </x:c>
      <x:c r="J143" s="11" t="n">
        <x:f>'Source'!I9*L143</x:f>
        <x:v>13469760</x:v>
      </x:c>
      <x:c r="K143" s="14" t="n">
        <x:f>J143/'Source'!C9</x:f>
        <x:v>0.08818924032814576</x:v>
      </x:c>
      <x:c r="L143" s="14" t="n">
        <x:f>'Assumptions'!E23</x:f>
        <x:v>0.03</x:v>
      </x:c>
      <x:c r="M143" s="14" t="n">
        <x:v>0.103785</x:v>
      </x:c>
      <x:c r="N143" s="14" t="n">
        <x:v>0.329744</x:v>
      </x:c>
      <x:c r="O143" s="1" t="str">
        <x:f>IF(AND(ROUND(F143,6)=M143,ROUND(G143,6)=N143),"PASS","CHECK")</x:f>
        <x:v>PASS</x:v>
      </x:c>
      <x:c r="P143" s="1"/>
    </x:row>
    <x:row r="144">
      <x:c r="A144" s="1" t="str">
        <x:v>Wells Fargo</x:v>
      </x:c>
      <x:c r="B144" s="1" t="str">
        <x:v>Adverse</x:v>
      </x:c>
      <x:c r="C144" s="1" t="n">
        <x:v>9</x:v>
      </x:c>
      <x:c r="D144" s="14" t="n">
        <x:f>D143+'Assumptions'!C24</x:f>
        <x:v>-0.01</x:v>
      </x:c>
      <x:c r="E144" s="14" t="n">
        <x:f>'Assumptions'!D24</x:f>
        <x:v>0.05</x:v>
      </x:c>
      <x:c r="F144" s="14" t="n">
        <x:f>'Source'!K9+D144</x:f>
        <x:v>0.10378543676929192</x:v>
      </x:c>
      <x:c r="G144" s="14" t="n">
        <x:f>('Source'!F9-'Source'!G9-I144)/'Source'!E9</x:f>
        <x:v>0.32974404971341265</x:v>
      </x:c>
      <x:c r="H144" s="11" t="n">
        <x:f>'Source'!H9-I144</x:f>
        <x:v>1426402200</x:v>
      </x:c>
      <x:c r="I144" s="11" t="n">
        <x:f>'Source'!H9*E144</x:f>
        <x:v>75073800</x:v>
      </x:c>
      <x:c r="J144" s="11" t="n">
        <x:f>'Source'!I9*L144</x:f>
        <x:v>13469760</x:v>
      </x:c>
      <x:c r="K144" s="14" t="n">
        <x:f>J144/'Source'!C9</x:f>
        <x:v>0.08818924032814576</x:v>
      </x:c>
      <x:c r="L144" s="14" t="n">
        <x:f>'Assumptions'!E24</x:f>
        <x:v>0.03</x:v>
      </x:c>
      <x:c r="M144" s="14" t="n">
        <x:v>0.103785</x:v>
      </x:c>
      <x:c r="N144" s="14" t="n">
        <x:v>0.329744</x:v>
      </x:c>
      <x:c r="O144" s="1" t="str">
        <x:f>IF(AND(ROUND(F144,6)=M144,ROUND(G144,6)=N144),"PASS","CHECK")</x:f>
        <x:v>PASS</x:v>
      </x:c>
      <x:c r="P144" s="1"/>
    </x:row>
    <x:row r="145">
      <x:c r="A145" s="1" t="str">
        <x:v>Wells Fargo</x:v>
      </x:c>
      <x:c r="B145" s="1" t="str">
        <x:v>Severely Adverse</x:v>
      </x:c>
      <x:c r="C145" s="1" t="n">
        <x:v>0</x:v>
      </x:c>
      <x:c r="D145" s="14" t="n">
        <x:f>'Assumptions'!C25</x:f>
        <x:v>0</x:v>
      </x:c>
      <x:c r="E145" s="14" t="n">
        <x:f>'Assumptions'!D25</x:f>
        <x:v>0</x:v>
      </x:c>
      <x:c r="F145" s="14" t="n">
        <x:f>'Source'!K9+D145</x:f>
        <x:v>0.11378543676929191</x:v>
      </x:c>
      <x:c r="G145" s="14" t="n">
        <x:f>('Source'!F9-'Source'!G9-I145)/'Source'!E9</x:f>
        <x:v>0.3626393994218739</x:v>
      </x:c>
      <x:c r="H145" s="11" t="n">
        <x:f>'Source'!H9-I145</x:f>
        <x:v>1501476000</x:v>
      </x:c>
      <x:c r="I145" s="11" t="n">
        <x:f>'Source'!H9*E145</x:f>
        <x:v>0</x:v>
      </x:c>
      <x:c r="J145" s="11" t="n">
        <x:f>'Source'!I9*L145</x:f>
        <x:v>0</x:v>
      </x:c>
      <x:c r="K145" s="14" t="n">
        <x:f>J145/'Source'!C9</x:f>
        <x:v>0</x:v>
      </x:c>
      <x:c r="L145" s="14" t="n">
        <x:f>'Assumptions'!E25</x:f>
        <x:v>0</x:v>
      </x:c>
      <x:c r="M145" s="14" t="n">
        <x:v>0.113785</x:v>
      </x:c>
      <x:c r="N145" s="14" t="n">
        <x:v>0.362639</x:v>
      </x:c>
      <x:c r="O145" s="1" t="str">
        <x:f>IF(AND(ROUND(F145,6)=M145,ROUND(G145,6)=N145),"PASS","CHECK")</x:f>
        <x:v>PASS</x:v>
      </x:c>
      <x:c r="P145" s="1"/>
    </x:row>
    <x:row r="146">
      <x:c r="A146" s="1" t="str">
        <x:v>Wells Fargo</x:v>
      </x:c>
      <x:c r="B146" s="1" t="str">
        <x:v>Severely Adverse</x:v>
      </x:c>
      <x:c r="C146" s="1" t="n">
        <x:v>1</x:v>
      </x:c>
      <x:c r="D146" s="14" t="n">
        <x:f>D145+'Assumptions'!C26</x:f>
        <x:v>-0.006</x:v>
      </x:c>
      <x:c r="E146" s="14" t="n">
        <x:f>'Assumptions'!D26</x:f>
        <x:v>0.075</x:v>
      </x:c>
      <x:c r="F146" s="14" t="n">
        <x:f>'Source'!K9+D146</x:f>
        <x:v>0.1077854367692919</x:v>
      </x:c>
      <x:c r="G146" s="14" t="n">
        <x:f>('Source'!F9-'Source'!G9-I146)/'Source'!E9</x:f>
        <x:v>0.313296374859182</x:v>
      </x:c>
      <x:c r="H146" s="11" t="n">
        <x:f>'Source'!H9-I146</x:f>
        <x:v>1388865300</x:v>
      </x:c>
      <x:c r="I146" s="11" t="n">
        <x:f>'Source'!H9*E146</x:f>
        <x:v>112610700</x:v>
      </x:c>
      <x:c r="J146" s="11" t="n">
        <x:f>'Source'!I9*L146</x:f>
        <x:v>22449600</x:v>
      </x:c>
      <x:c r="K146" s="14" t="n">
        <x:f>J146/'Source'!C9</x:f>
        <x:v>0.1469820672135763</x:v>
      </x:c>
      <x:c r="L146" s="14" t="n">
        <x:f>'Assumptions'!E26</x:f>
        <x:v>0.05</x:v>
      </x:c>
      <x:c r="M146" s="14" t="n">
        <x:v>0.107785</x:v>
      </x:c>
      <x:c r="N146" s="14" t="n">
        <x:v>0.313296</x:v>
      </x:c>
      <x:c r="O146" s="1" t="str">
        <x:f>IF(AND(ROUND(F146,6)=M146,ROUND(G146,6)=N146),"PASS","CHECK")</x:f>
        <x:v>PASS</x:v>
      </x:c>
      <x:c r="P146" s="1"/>
    </x:row>
    <x:row r="147">
      <x:c r="A147" s="1" t="str">
        <x:v>Wells Fargo</x:v>
      </x:c>
      <x:c r="B147" s="1" t="str">
        <x:v>Severely Adverse</x:v>
      </x:c>
      <x:c r="C147" s="1" t="n">
        <x:v>2</x:v>
      </x:c>
      <x:c r="D147" s="14" t="n">
        <x:f>D146+'Assumptions'!C27</x:f>
        <x:v>-0.011</x:v>
      </x:c>
      <x:c r="E147" s="14" t="n">
        <x:f>'Assumptions'!D27</x:f>
        <x:v>0.15</x:v>
      </x:c>
      <x:c r="F147" s="14" t="n">
        <x:f>'Source'!K9+D147</x:f>
        <x:v>0.10278543676929192</x:v>
      </x:c>
      <x:c r="G147" s="14" t="n">
        <x:f>('Source'!F9-'Source'!G9-I147)/'Source'!E9</x:f>
        <x:v>0.2639533502964901</x:v>
      </x:c>
      <x:c r="H147" s="11" t="n">
        <x:f>'Source'!H9-I147</x:f>
        <x:v>1276254600</x:v>
      </x:c>
      <x:c r="I147" s="11" t="n">
        <x:f>'Source'!H9*E147</x:f>
        <x:v>225221400</x:v>
      </x:c>
      <x:c r="J147" s="11" t="n">
        <x:f>'Source'!I9*L147</x:f>
        <x:v>44899200</x:v>
      </x:c>
      <x:c r="K147" s="14" t="n">
        <x:f>J147/'Source'!C9</x:f>
        <x:v>0.2939641344271526</x:v>
      </x:c>
      <x:c r="L147" s="14" t="n">
        <x:f>'Assumptions'!E27</x:f>
        <x:v>0.1</x:v>
      </x:c>
      <x:c r="M147" s="14" t="n">
        <x:v>0.102785</x:v>
      </x:c>
      <x:c r="N147" s="14" t="n">
        <x:v>0.263953</x:v>
      </x:c>
      <x:c r="O147" s="1" t="str">
        <x:f>IF(AND(ROUND(F147,6)=M147,ROUND(G147,6)=N147),"PASS","CHECK")</x:f>
        <x:v>PASS</x:v>
      </x:c>
      <x:c r="P147" s="1"/>
    </x:row>
    <x:row r="148">
      <x:c r="A148" s="1" t="str">
        <x:v>Wells Fargo</x:v>
      </x:c>
      <x:c r="B148" s="1" t="str">
        <x:v>Severely Adverse</x:v>
      </x:c>
      <x:c r="C148" s="1" t="n">
        <x:v>3</x:v>
      </x:c>
      <x:c r="D148" s="14" t="n">
        <x:f>D147+'Assumptions'!C28</x:f>
        <x:v>-0.015</x:v>
      </x:c>
      <x:c r="E148" s="14" t="n">
        <x:f>'Assumptions'!D28</x:f>
        <x:v>0.15</x:v>
      </x:c>
      <x:c r="F148" s="14" t="n">
        <x:f>'Source'!K9+D148</x:f>
        <x:v>0.09878543676929191</x:v>
      </x:c>
      <x:c r="G148" s="14" t="n">
        <x:f>('Source'!F9-'Source'!G9-I148)/'Source'!E9</x:f>
        <x:v>0.2639533502964901</x:v>
      </x:c>
      <x:c r="H148" s="11" t="n">
        <x:f>'Source'!H9-I148</x:f>
        <x:v>1276254600</x:v>
      </x:c>
      <x:c r="I148" s="11" t="n">
        <x:f>'Source'!H9*E148</x:f>
        <x:v>225221400</x:v>
      </x:c>
      <x:c r="J148" s="11" t="n">
        <x:f>'Source'!I9*L148</x:f>
        <x:v>44899200</x:v>
      </x:c>
      <x:c r="K148" s="14" t="n">
        <x:f>J148/'Source'!C9</x:f>
        <x:v>0.2939641344271526</x:v>
      </x:c>
      <x:c r="L148" s="14" t="n">
        <x:f>'Assumptions'!E28</x:f>
        <x:v>0.1</x:v>
      </x:c>
      <x:c r="M148" s="14" t="n">
        <x:v>0.098785</x:v>
      </x:c>
      <x:c r="N148" s="14" t="n">
        <x:v>0.263953</x:v>
      </x:c>
      <x:c r="O148" s="1" t="str">
        <x:f>IF(AND(ROUND(F148,6)=M148,ROUND(G148,6)=N148),"PASS","CHECK")</x:f>
        <x:v>PASS</x:v>
      </x:c>
      <x:c r="P148" s="1"/>
    </x:row>
    <x:row r="149">
      <x:c r="A149" s="1" t="str">
        <x:v>Wells Fargo</x:v>
      </x:c>
      <x:c r="B149" s="1" t="str">
        <x:v>Severely Adverse</x:v>
      </x:c>
      <x:c r="C149" s="1" t="n">
        <x:v>4</x:v>
      </x:c>
      <x:c r="D149" s="14" t="n">
        <x:f>D148+'Assumptions'!C29</x:f>
        <x:v>-0.018</x:v>
      </x:c>
      <x:c r="E149" s="14" t="n">
        <x:f>'Assumptions'!D29</x:f>
        <x:v>0.15</x:v>
      </x:c>
      <x:c r="F149" s="14" t="n">
        <x:f>'Source'!K9+D149</x:f>
        <x:v>0.09578543676929191</x:v>
      </x:c>
      <x:c r="G149" s="14" t="n">
        <x:f>('Source'!F9-'Source'!G9-I149)/'Source'!E9</x:f>
        <x:v>0.2639533502964901</x:v>
      </x:c>
      <x:c r="H149" s="11" t="n">
        <x:f>'Source'!H9-I149</x:f>
        <x:v>1276254600</x:v>
      </x:c>
      <x:c r="I149" s="11" t="n">
        <x:f>'Source'!H9*E149</x:f>
        <x:v>225221400</x:v>
      </x:c>
      <x:c r="J149" s="11" t="n">
        <x:f>'Source'!I9*L149</x:f>
        <x:v>44899200</x:v>
      </x:c>
      <x:c r="K149" s="14" t="n">
        <x:f>J149/'Source'!C9</x:f>
        <x:v>0.2939641344271526</x:v>
      </x:c>
      <x:c r="L149" s="14" t="n">
        <x:f>'Assumptions'!E29</x:f>
        <x:v>0.1</x:v>
      </x:c>
      <x:c r="M149" s="14" t="n">
        <x:v>0.095785</x:v>
      </x:c>
      <x:c r="N149" s="14" t="n">
        <x:v>0.263953</x:v>
      </x:c>
      <x:c r="O149" s="1" t="str">
        <x:f>IF(AND(ROUND(F149,6)=M149,ROUND(G149,6)=N149),"PASS","CHECK")</x:f>
        <x:v>PASS</x:v>
      </x:c>
      <x:c r="P149" s="1"/>
    </x:row>
    <x:row r="150">
      <x:c r="A150" s="1" t="str">
        <x:v>Wells Fargo</x:v>
      </x:c>
      <x:c r="B150" s="1" t="str">
        <x:v>Severely Adverse</x:v>
      </x:c>
      <x:c r="C150" s="1" t="n">
        <x:v>5</x:v>
      </x:c>
      <x:c r="D150" s="14" t="n">
        <x:f>D149+'Assumptions'!C30</x:f>
        <x:v>-0.016999999999999998</x:v>
      </x:c>
      <x:c r="E150" s="14" t="n">
        <x:f>'Assumptions'!D30</x:f>
        <x:v>0.15</x:v>
      </x:c>
      <x:c r="F150" s="14" t="n">
        <x:f>'Source'!K9+D150</x:f>
        <x:v>0.09678543676929191</x:v>
      </x:c>
      <x:c r="G150" s="14" t="n">
        <x:f>('Source'!F9-'Source'!G9-I150)/'Source'!E9</x:f>
        <x:v>0.2639533502964901</x:v>
      </x:c>
      <x:c r="H150" s="11" t="n">
        <x:f>'Source'!H9-I150</x:f>
        <x:v>1276254600</x:v>
      </x:c>
      <x:c r="I150" s="11" t="n">
        <x:f>'Source'!H9*E150</x:f>
        <x:v>225221400</x:v>
      </x:c>
      <x:c r="J150" s="11" t="n">
        <x:f>'Source'!I9*L150</x:f>
        <x:v>44899200</x:v>
      </x:c>
      <x:c r="K150" s="14" t="n">
        <x:f>J150/'Source'!C9</x:f>
        <x:v>0.2939641344271526</x:v>
      </x:c>
      <x:c r="L150" s="14" t="n">
        <x:f>'Assumptions'!E30</x:f>
        <x:v>0.1</x:v>
      </x:c>
      <x:c r="M150" s="14" t="n">
        <x:v>0.096785</x:v>
      </x:c>
      <x:c r="N150" s="14" t="n">
        <x:v>0.263953</x:v>
      </x:c>
      <x:c r="O150" s="1" t="str">
        <x:f>IF(AND(ROUND(F150,6)=M150,ROUND(G150,6)=N150),"PASS","CHECK")</x:f>
        <x:v>PASS</x:v>
      </x:c>
      <x:c r="P150" s="1"/>
    </x:row>
    <x:row r="151">
      <x:c r="A151" s="1" t="str">
        <x:v>Wells Fargo</x:v>
      </x:c>
      <x:c r="B151" s="1" t="str">
        <x:v>Severely Adverse</x:v>
      </x:c>
      <x:c r="C151" s="1" t="n">
        <x:v>6</x:v>
      </x:c>
      <x:c r="D151" s="14" t="n">
        <x:f>D150+'Assumptions'!C31</x:f>
        <x:v>-0.015999999999999997</x:v>
      </x:c>
      <x:c r="E151" s="14" t="n">
        <x:f>'Assumptions'!D31</x:f>
        <x:v>0.15</x:v>
      </x:c>
      <x:c r="F151" s="14" t="n">
        <x:f>'Source'!K9+D151</x:f>
        <x:v>0.09778543676929191</x:v>
      </x:c>
      <x:c r="G151" s="14" t="n">
        <x:f>('Source'!F9-'Source'!G9-I151)/'Source'!E9</x:f>
        <x:v>0.2639533502964901</x:v>
      </x:c>
      <x:c r="H151" s="11" t="n">
        <x:f>'Source'!H9-I151</x:f>
        <x:v>1276254600</x:v>
      </x:c>
      <x:c r="I151" s="11" t="n">
        <x:f>'Source'!H9*E151</x:f>
        <x:v>225221400</x:v>
      </x:c>
      <x:c r="J151" s="11" t="n">
        <x:f>'Source'!I9*L151</x:f>
        <x:v>44899200</x:v>
      </x:c>
      <x:c r="K151" s="14" t="n">
        <x:f>J151/'Source'!C9</x:f>
        <x:v>0.2939641344271526</x:v>
      </x:c>
      <x:c r="L151" s="14" t="n">
        <x:f>'Assumptions'!E31</x:f>
        <x:v>0.1</x:v>
      </x:c>
      <x:c r="M151" s="14" t="n">
        <x:v>0.097785</x:v>
      </x:c>
      <x:c r="N151" s="14" t="n">
        <x:v>0.263953</x:v>
      </x:c>
      <x:c r="O151" s="1" t="str">
        <x:f>IF(AND(ROUND(F151,6)=M151,ROUND(G151,6)=N151),"PASS","CHECK")</x:f>
        <x:v>PASS</x:v>
      </x:c>
      <x:c r="P151" s="1"/>
    </x:row>
    <x:row r="152">
      <x:c r="A152" s="1" t="str">
        <x:v>Wells Fargo</x:v>
      </x:c>
      <x:c r="B152" s="1" t="str">
        <x:v>Severely Adverse</x:v>
      </x:c>
      <x:c r="C152" s="1" t="n">
        <x:v>7</x:v>
      </x:c>
      <x:c r="D152" s="14" t="n">
        <x:f>D151+'Assumptions'!C32</x:f>
        <x:v>-0.014999999999999996</x:v>
      </x:c>
      <x:c r="E152" s="14" t="n">
        <x:f>'Assumptions'!D32</x:f>
        <x:v>0.15</x:v>
      </x:c>
      <x:c r="F152" s="14" t="n">
        <x:f>'Source'!K9+D152</x:f>
        <x:v>0.09878543676929191</x:v>
      </x:c>
      <x:c r="G152" s="14" t="n">
        <x:f>('Source'!F9-'Source'!G9-I152)/'Source'!E9</x:f>
        <x:v>0.2639533502964901</x:v>
      </x:c>
      <x:c r="H152" s="11" t="n">
        <x:f>'Source'!H9-I152</x:f>
        <x:v>1276254600</x:v>
      </x:c>
      <x:c r="I152" s="11" t="n">
        <x:f>'Source'!H9*E152</x:f>
        <x:v>225221400</x:v>
      </x:c>
      <x:c r="J152" s="11" t="n">
        <x:f>'Source'!I9*L152</x:f>
        <x:v>44899200</x:v>
      </x:c>
      <x:c r="K152" s="14" t="n">
        <x:f>J152/'Source'!C9</x:f>
        <x:v>0.2939641344271526</x:v>
      </x:c>
      <x:c r="L152" s="14" t="n">
        <x:f>'Assumptions'!E32</x:f>
        <x:v>0.1</x:v>
      </x:c>
      <x:c r="M152" s="14" t="n">
        <x:v>0.098785</x:v>
      </x:c>
      <x:c r="N152" s="14" t="n">
        <x:v>0.263953</x:v>
      </x:c>
      <x:c r="O152" s="1" t="str">
        <x:f>IF(AND(ROUND(F152,6)=M152,ROUND(G152,6)=N152),"PASS","CHECK")</x:f>
        <x:v>PASS</x:v>
      </x:c>
      <x:c r="P152" s="1"/>
    </x:row>
    <x:row r="153">
      <x:c r="A153" s="1" t="str">
        <x:v>Wells Fargo</x:v>
      </x:c>
      <x:c r="B153" s="1" t="str">
        <x:v>Severely Adverse</x:v>
      </x:c>
      <x:c r="C153" s="1" t="n">
        <x:v>8</x:v>
      </x:c>
      <x:c r="D153" s="14" t="n">
        <x:f>D152+'Assumptions'!C33</x:f>
        <x:v>-0.013999999999999995</x:v>
      </x:c>
      <x:c r="E153" s="14" t="n">
        <x:f>'Assumptions'!D33</x:f>
        <x:v>0.15</x:v>
      </x:c>
      <x:c r="F153" s="14" t="n">
        <x:f>'Source'!K9+D153</x:f>
        <x:v>0.09978543676929191</x:v>
      </x:c>
      <x:c r="G153" s="14" t="n">
        <x:f>('Source'!F9-'Source'!G9-I153)/'Source'!E9</x:f>
        <x:v>0.2639533502964901</x:v>
      </x:c>
      <x:c r="H153" s="11" t="n">
        <x:f>'Source'!H9-I153</x:f>
        <x:v>1276254600</x:v>
      </x:c>
      <x:c r="I153" s="11" t="n">
        <x:f>'Source'!H9*E153</x:f>
        <x:v>225221400</x:v>
      </x:c>
      <x:c r="J153" s="11" t="n">
        <x:f>'Source'!I9*L153</x:f>
        <x:v>44899200</x:v>
      </x:c>
      <x:c r="K153" s="14" t="n">
        <x:f>J153/'Source'!C9</x:f>
        <x:v>0.2939641344271526</x:v>
      </x:c>
      <x:c r="L153" s="14" t="n">
        <x:f>'Assumptions'!E33</x:f>
        <x:v>0.1</x:v>
      </x:c>
      <x:c r="M153" s="14" t="n">
        <x:v>0.099785</x:v>
      </x:c>
      <x:c r="N153" s="14" t="n">
        <x:v>0.263953</x:v>
      </x:c>
      <x:c r="O153" s="1" t="str">
        <x:f>IF(AND(ROUND(F153,6)=M153,ROUND(G153,6)=N153),"PASS","CHECK")</x:f>
        <x:v>PASS</x:v>
      </x:c>
      <x:c r="P153" s="1"/>
    </x:row>
    <x:row r="154">
      <x:c r="A154" s="1" t="str">
        <x:v>Wells Fargo</x:v>
      </x:c>
      <x:c r="B154" s="1" t="str">
        <x:v>Severely Adverse</x:v>
      </x:c>
      <x:c r="C154" s="1" t="n">
        <x:v>9</x:v>
      </x:c>
      <x:c r="D154" s="14" t="n">
        <x:f>D153+'Assumptions'!C34</x:f>
        <x:v>-0.012999999999999994</x:v>
      </x:c>
      <x:c r="E154" s="14" t="n">
        <x:f>'Assumptions'!D34</x:f>
        <x:v>0.15</x:v>
      </x:c>
      <x:c r="F154" s="14" t="n">
        <x:f>'Source'!K9+D154</x:f>
        <x:v>0.10078543676929191</x:v>
      </x:c>
      <x:c r="G154" s="14" t="n">
        <x:f>('Source'!F9-'Source'!G9-I154)/'Source'!E9</x:f>
        <x:v>0.2639533502964901</x:v>
      </x:c>
      <x:c r="H154" s="11" t="n">
        <x:f>'Source'!H9-I154</x:f>
        <x:v>1276254600</x:v>
      </x:c>
      <x:c r="I154" s="11" t="n">
        <x:f>'Source'!H9*E154</x:f>
        <x:v>225221400</x:v>
      </x:c>
      <x:c r="J154" s="11" t="n">
        <x:f>'Source'!I9*L154</x:f>
        <x:v>44899200</x:v>
      </x:c>
      <x:c r="K154" s="14" t="n">
        <x:f>J154/'Source'!C9</x:f>
        <x:v>0.2939641344271526</x:v>
      </x:c>
      <x:c r="L154" s="14" t="n">
        <x:f>'Assumptions'!E34</x:f>
        <x:v>0.1</x:v>
      </x:c>
      <x:c r="M154" s="14" t="n">
        <x:v>0.100785</x:v>
      </x:c>
      <x:c r="N154" s="14" t="n">
        <x:v>0.263953</x:v>
      </x:c>
      <x:c r="O154" s="1" t="str">
        <x:f>IF(AND(ROUND(F154,6)=M154,ROUND(G154,6)=N154),"PASS","CHECK")</x:f>
        <x:v>PASS</x:v>
      </x:c>
      <x:c r="P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</x:row>
    <x:row r="156">
      <x:c r="A156" s="1" t="str">
        <x:v>Rows passing</x:v>
      </x:c>
      <x:c r="B156" s="1" t="n">
        <x:f>COUNTIFS(O5:O154,"PASS")</x:f>
        <x:v>150</x:v>
      </x:c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</x:row>
    <x:row r="157">
      <x:c r="A157" s="1" t="str">
        <x:v>Rows checked</x:v>
      </x:c>
      <x:c r="B157" s="1" t="n">
        <x:f>COUNTA(A5:A154)</x:f>
        <x:v>150</x:v>
      </x:c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</x:row>
  </x:sheetData>
  <x:mergeCells>
    <x:mergeCell ref="A2:O2"/>
  </x:mergeCells>
  <x:pageMargins left="0.7" right="0.7" top="0.75" bottom="0.75" header="0.3" footer="0.3"/>
</x:worksheet>
</file>