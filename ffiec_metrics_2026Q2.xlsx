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267\Downloads\"/>
    </mc:Choice>
  </mc:AlternateContent>
  <xr:revisionPtr revIDLastSave="0" documentId="13_ncr:1_{2BEA204A-FCCA-4D7B-8363-284F8640D6C0}" xr6:coauthVersionLast="47" xr6:coauthVersionMax="47" xr10:uidLastSave="{00000000-0000-0000-0000-000000000000}"/>
  <bookViews>
    <workbookView xWindow="-105" yWindow="0" windowWidth="19410" windowHeight="21705" activeTab="2" xr2:uid="{DC04FABB-5317-4791-A46A-7D6EE381B15C}"/>
  </bookViews>
  <sheets>
    <sheet name="RSSD_Lookup" sheetId="1" r:id="rId1"/>
    <sheet name="Metrics" sheetId="2" r:id="rId2"/>
    <sheet name="Exposure No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2" l="1"/>
  <c r="H2" i="2"/>
  <c r="N2" i="2"/>
  <c r="O2" i="2" s="1"/>
  <c r="R2" i="2"/>
  <c r="X2" i="2"/>
  <c r="Z2" i="2"/>
  <c r="F3" i="2"/>
  <c r="H3" i="2"/>
  <c r="N3" i="2"/>
  <c r="O3" i="2"/>
  <c r="R3" i="2"/>
  <c r="X3" i="2"/>
  <c r="Z3" i="2"/>
  <c r="F4" i="2"/>
  <c r="H4" i="2"/>
  <c r="N4" i="2"/>
  <c r="O4" i="2"/>
  <c r="R4" i="2"/>
  <c r="X4" i="2"/>
  <c r="Z4" i="2"/>
  <c r="F5" i="2"/>
  <c r="H5" i="2"/>
  <c r="N5" i="2"/>
  <c r="O5" i="2"/>
  <c r="R5" i="2"/>
  <c r="X5" i="2"/>
  <c r="Z5" i="2"/>
  <c r="F6" i="2"/>
  <c r="H6" i="2"/>
  <c r="N6" i="2"/>
  <c r="O6" i="2" s="1"/>
  <c r="R6" i="2"/>
  <c r="X6" i="2"/>
  <c r="Z6" i="2" s="1"/>
  <c r="AA4" i="2" l="1"/>
  <c r="AA3" i="2"/>
  <c r="AA5" i="2"/>
  <c r="AA6" i="2"/>
  <c r="AA2" i="2"/>
</calcChain>
</file>

<file path=xl/sharedStrings.xml><?xml version="1.0" encoding="utf-8"?>
<sst xmlns="http://schemas.openxmlformats.org/spreadsheetml/2006/main" count="69" uniqueCount="55">
  <si>
    <t>display_name</t>
  </si>
  <si>
    <t>legal_name</t>
  </si>
  <si>
    <t>rssd_id</t>
  </si>
  <si>
    <t>institution_type</t>
  </si>
  <si>
    <t>status</t>
  </si>
  <si>
    <t>nic_url</t>
  </si>
  <si>
    <t>Bank of America</t>
  </si>
  <si>
    <t>BANK OF AMERICA CORPORATION</t>
  </si>
  <si>
    <t>Financial Holding Company - Domestic</t>
  </si>
  <si>
    <t>Active</t>
  </si>
  <si>
    <t>Citigroup</t>
  </si>
  <si>
    <t>CITIGROUP INC.</t>
  </si>
  <si>
    <t>Goldman Sachs</t>
  </si>
  <si>
    <t>GOLDMAN SACHS GROUP, INC., THE</t>
  </si>
  <si>
    <t>JPMorgan Chase</t>
  </si>
  <si>
    <t>JPMORGAN CHASE &amp; CO.</t>
  </si>
  <si>
    <t>Wells Fargo</t>
  </si>
  <si>
    <t>WELLS FARGO &amp; COMPANY</t>
  </si>
  <si>
    <t>https://www.ffiec.gov/npw/Institution/Profile/1073757?dt=20141231</t>
  </si>
  <si>
    <t>https://www.ffiec.gov/npw/Institution/Profile/1951350?dt=20170701</t>
  </si>
  <si>
    <t>https://www.ffiec.gov/npw/Institution/Profile/2380443?dt=20150101</t>
  </si>
  <si>
    <t>https://www.ffiec.gov/npw/Institution/Profile/1039502?dt=20251201</t>
  </si>
  <si>
    <t>https://www.ffiec.gov/npw/Institution/Profile/1120754?dt=20250829</t>
  </si>
  <si>
    <t>bank</t>
  </si>
  <si>
    <t>quarter</t>
  </si>
  <si>
    <t>tier1_capital</t>
  </si>
  <si>
    <t>risk_weighted_assets</t>
  </si>
  <si>
    <t>tier1_ratio</t>
  </si>
  <si>
    <t>leverage_assets</t>
  </si>
  <si>
    <t>total_loans</t>
  </si>
  <si>
    <t>domestic_noninterest_deposits</t>
  </si>
  <si>
    <t>domestic_interest_deposits</t>
  </si>
  <si>
    <t>foreign_noninterest_deposits</t>
  </si>
  <si>
    <t>foreign_interest_deposits</t>
  </si>
  <si>
    <t>total_deposits</t>
  </si>
  <si>
    <t>loan_to_deposit_ratio</t>
  </si>
  <si>
    <t>loans_90_plus</t>
  </si>
  <si>
    <t>nonaccrual_loans</t>
  </si>
  <si>
    <t>npl_ratio</t>
  </si>
  <si>
    <t>deposits_reprice_12m</t>
  </si>
  <si>
    <t>debt_reprice_12m</t>
  </si>
  <si>
    <t>variable_rate_preferred_stock</t>
  </si>
  <si>
    <t>debt_maturing_12m</t>
  </si>
  <si>
    <t>total_assets</t>
  </si>
  <si>
    <t>liquidity_gap_12m</t>
  </si>
  <si>
    <t>liquidity_rank</t>
  </si>
  <si>
    <t>source_file</t>
  </si>
  <si>
    <t>FRY9C_1073757_20260630.csv</t>
  </si>
  <si>
    <t>FRY9C_1951350_20260630.csv</t>
  </si>
  <si>
    <t>FRY9C_2380443_20260630.csv</t>
  </si>
  <si>
    <t>FRY9C_1039502_20260630.csv</t>
  </si>
  <si>
    <t>FRY9C_1120754_20260630.csv</t>
  </si>
  <si>
    <t>leverage_ratio</t>
  </si>
  <si>
    <t>rate_sensitive_assets_12m</t>
  </si>
  <si>
    <t>rate_sensitive_liabilities_12m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</si>
</sst>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%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3" fillId="0" borderId="0" xfId="0" applyFont="1" applyAlignment="1">
      <alignment vertical="center"/>
    </xf>
    <xf numFmtId="168" fontId="0" fillId="0" borderId="0" xfId="0" applyNumberFormat="1"/>
    <xf numFmtId="14" fontId="0" fillId="0" borderId="0" xfId="0" applyNumberFormat="1"/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561975</xdr:colOff>
      <xdr:row>5</xdr:row>
      <xdr:rowOff>171450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5F30C9D-57EC-686D-4654-2009ABA938BA}"/>
            </a:ext>
          </a:extLst>
        </xdr:cNvPr>
        <xdr:cNvSpPr/>
      </xdr:nvSpPr>
      <xdr:spPr>
        <a:xfrm>
          <a:off x="0" y="0"/>
          <a:ext cx="5438775" cy="11239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JPMorgan Chase appears to be the most exposed bank from a short-term liquidity perspective, with the lowest 12-month cumulative liquidity gap in the peer group at 29.68%. However, its Tier 1 capital ratio remains strong at 15.13% and its NPL ratio is relatively low at 0.76%, suggesting that its relative vulnerability is driven primarily by liquidity rather than capital adequacy or credit quality.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fiec.gov/npw/Institution/Profile/2380443?dt=20150101" TargetMode="External"/><Relationship Id="rId2" Type="http://schemas.openxmlformats.org/officeDocument/2006/relationships/hyperlink" Target="https://www.ffiec.gov/npw/Institution/Profile/1073757?dt=20141231" TargetMode="External"/><Relationship Id="rId1" Type="http://schemas.openxmlformats.org/officeDocument/2006/relationships/hyperlink" Target="https://www.ffiec.gov/npw/Institution/Profile/1951350?dt=20170701" TargetMode="External"/><Relationship Id="rId5" Type="http://schemas.openxmlformats.org/officeDocument/2006/relationships/hyperlink" Target="https://www.ffiec.gov/npw/Institution/Profile/1120754?dt=20250829" TargetMode="External"/><Relationship Id="rId4" Type="http://schemas.openxmlformats.org/officeDocument/2006/relationships/hyperlink" Target="https://www.ffiec.gov/npw/Institution/Profile/1039502?dt=202512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195E-38D8-4D95-9134-621CAA6F393B}">
  <dimension ref="A1:F6"/>
  <sheetViews>
    <sheetView workbookViewId="0">
      <selection activeCell="C2" sqref="C2:C6"/>
    </sheetView>
  </sheetViews>
  <sheetFormatPr defaultRowHeight="15"/>
  <cols>
    <col min="1" max="1" width="16.28515625" customWidth="1"/>
    <col min="2" max="2" width="35.140625" customWidth="1"/>
    <col min="3" max="3" width="22.140625" customWidth="1"/>
    <col min="4" max="4" width="42.42578125" customWidth="1"/>
    <col min="5" max="5" width="17.140625" customWidth="1"/>
    <col min="6" max="6" width="79.285156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>
        <v>1073757</v>
      </c>
      <c r="D2" s="1" t="s">
        <v>8</v>
      </c>
      <c r="E2" s="1" t="s">
        <v>9</v>
      </c>
      <c r="F2" s="3" t="s">
        <v>18</v>
      </c>
    </row>
    <row r="3" spans="1:6">
      <c r="A3" s="1" t="s">
        <v>10</v>
      </c>
      <c r="B3" s="1" t="s">
        <v>11</v>
      </c>
      <c r="C3" s="1">
        <v>1951350</v>
      </c>
      <c r="D3" s="1" t="s">
        <v>8</v>
      </c>
      <c r="E3" s="1" t="s">
        <v>9</v>
      </c>
      <c r="F3" s="3" t="s">
        <v>19</v>
      </c>
    </row>
    <row r="4" spans="1:6">
      <c r="A4" s="1" t="s">
        <v>12</v>
      </c>
      <c r="B4" s="1" t="s">
        <v>13</v>
      </c>
      <c r="C4" s="1">
        <v>2380443</v>
      </c>
      <c r="D4" s="1" t="s">
        <v>8</v>
      </c>
      <c r="E4" s="1" t="s">
        <v>9</v>
      </c>
      <c r="F4" s="3" t="s">
        <v>20</v>
      </c>
    </row>
    <row r="5" spans="1:6">
      <c r="A5" s="1" t="s">
        <v>14</v>
      </c>
      <c r="B5" s="1" t="s">
        <v>15</v>
      </c>
      <c r="C5" s="1">
        <v>1039502</v>
      </c>
      <c r="D5" s="1" t="s">
        <v>8</v>
      </c>
      <c r="E5" s="1" t="s">
        <v>9</v>
      </c>
      <c r="F5" s="3" t="s">
        <v>21</v>
      </c>
    </row>
    <row r="6" spans="1:6">
      <c r="A6" s="1" t="s">
        <v>16</v>
      </c>
      <c r="B6" s="1" t="s">
        <v>17</v>
      </c>
      <c r="C6" s="1">
        <v>1120754</v>
      </c>
      <c r="D6" s="1" t="s">
        <v>8</v>
      </c>
      <c r="E6" s="1" t="s">
        <v>9</v>
      </c>
      <c r="F6" s="3" t="s">
        <v>22</v>
      </c>
    </row>
  </sheetData>
  <hyperlinks>
    <hyperlink ref="F3" r:id="rId1" xr:uid="{8196D0CA-7E13-4DB0-BA51-4CB3E5AA797B}"/>
    <hyperlink ref="F2" r:id="rId2" xr:uid="{C50A94FA-A464-49A0-BC17-5BE082EBA608}"/>
    <hyperlink ref="F4" r:id="rId3" xr:uid="{54C5ED26-702A-466D-A79A-C8B35CA8EDA3}"/>
    <hyperlink ref="F5" r:id="rId4" xr:uid="{49B60452-CC32-4003-A156-816713B3E913}"/>
    <hyperlink ref="F6" r:id="rId5" xr:uid="{70D15F14-A220-40DB-94B5-89A47133CC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8C84-E9FB-4141-9BAC-EE59F72A77C4}">
  <dimension ref="A1:AB6"/>
  <sheetViews>
    <sheetView workbookViewId="0">
      <selection activeCell="AB21" sqref="AB21"/>
    </sheetView>
  </sheetViews>
  <sheetFormatPr defaultRowHeight="15"/>
  <cols>
    <col min="1" max="1" width="44.140625" customWidth="1"/>
    <col min="4" max="4" width="17.140625" customWidth="1"/>
    <col min="5" max="5" width="19.85546875" customWidth="1"/>
    <col min="6" max="6" width="11.140625" style="5" customWidth="1"/>
    <col min="7" max="7" width="17.7109375" customWidth="1"/>
    <col min="8" max="8" width="16.140625" style="5" customWidth="1"/>
    <col min="9" max="9" width="11.140625" customWidth="1"/>
    <col min="10" max="10" width="26.5703125" customWidth="1"/>
    <col min="11" max="11" width="29.140625" customWidth="1"/>
    <col min="12" max="12" width="27.85546875" customWidth="1"/>
    <col min="13" max="13" width="22.140625" customWidth="1"/>
    <col min="14" max="14" width="15" customWidth="1"/>
    <col min="15" max="15" width="22.7109375" style="5" customWidth="1"/>
    <col min="16" max="16" width="13.28515625" customWidth="1"/>
    <col min="17" max="17" width="16" customWidth="1"/>
    <col min="18" max="18" width="9.28515625" style="5" customWidth="1"/>
    <col min="19" max="19" width="26" customWidth="1"/>
    <col min="20" max="20" width="21.42578125" customWidth="1"/>
    <col min="21" max="21" width="17.85546875" customWidth="1"/>
    <col min="22" max="22" width="26.7109375" customWidth="1"/>
    <col min="23" max="23" width="19.7109375" customWidth="1"/>
    <col min="24" max="24" width="26.85546875" customWidth="1"/>
    <col min="25" max="25" width="11.85546875" customWidth="1"/>
    <col min="26" max="26" width="17.85546875" style="5" customWidth="1"/>
    <col min="27" max="27" width="14.42578125" customWidth="1"/>
    <col min="28" max="28" width="27.85546875" customWidth="1"/>
  </cols>
  <sheetData>
    <row r="1" spans="1:28">
      <c r="A1" s="7" t="s">
        <v>23</v>
      </c>
      <c r="B1" s="7" t="s">
        <v>2</v>
      </c>
      <c r="C1" s="7" t="s">
        <v>24</v>
      </c>
      <c r="D1" s="7" t="s">
        <v>25</v>
      </c>
      <c r="E1" s="7" t="s">
        <v>26</v>
      </c>
      <c r="F1" s="8" t="s">
        <v>27</v>
      </c>
      <c r="G1" s="7" t="s">
        <v>28</v>
      </c>
      <c r="H1" s="8" t="s">
        <v>52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8" t="s">
        <v>35</v>
      </c>
      <c r="P1" s="7" t="s">
        <v>36</v>
      </c>
      <c r="Q1" s="7" t="s">
        <v>37</v>
      </c>
      <c r="R1" s="8" t="s">
        <v>38</v>
      </c>
      <c r="S1" s="7" t="s">
        <v>53</v>
      </c>
      <c r="T1" s="7" t="s">
        <v>39</v>
      </c>
      <c r="U1" s="7" t="s">
        <v>40</v>
      </c>
      <c r="V1" s="7" t="s">
        <v>41</v>
      </c>
      <c r="W1" s="7" t="s">
        <v>42</v>
      </c>
      <c r="X1" s="7" t="s">
        <v>54</v>
      </c>
      <c r="Y1" s="7" t="s">
        <v>43</v>
      </c>
      <c r="Z1" s="8" t="s">
        <v>44</v>
      </c>
      <c r="AA1" s="7" t="s">
        <v>45</v>
      </c>
      <c r="AB1" s="7" t="s">
        <v>46</v>
      </c>
    </row>
    <row r="2" spans="1:28">
      <c r="A2" s="1" t="s">
        <v>7</v>
      </c>
      <c r="B2" s="1">
        <v>1073757</v>
      </c>
      <c r="C2" s="6">
        <v>46203</v>
      </c>
      <c r="D2">
        <v>226568000</v>
      </c>
      <c r="E2">
        <v>1792202000</v>
      </c>
      <c r="F2" s="5">
        <f>D2/E2</f>
        <v>0.1264187853824513</v>
      </c>
      <c r="G2">
        <v>3452090000</v>
      </c>
      <c r="H2" s="5">
        <f>D2/G2</f>
        <v>6.5632124307303696E-2</v>
      </c>
      <c r="I2">
        <v>1269816000</v>
      </c>
      <c r="J2">
        <v>529989000</v>
      </c>
      <c r="K2">
        <v>1357509000</v>
      </c>
      <c r="L2">
        <v>14358000</v>
      </c>
      <c r="M2">
        <v>123268000</v>
      </c>
      <c r="N2">
        <f>SUM(J2:M2)</f>
        <v>2025124000</v>
      </c>
      <c r="O2" s="5">
        <f>I2/N2</f>
        <v>0.62703123364297697</v>
      </c>
      <c r="P2">
        <v>1871000</v>
      </c>
      <c r="Q2">
        <v>6111000</v>
      </c>
      <c r="R2" s="5">
        <f>(P2+Q2)/I2</f>
        <v>6.2859500904067995E-3</v>
      </c>
      <c r="S2">
        <v>1625674000</v>
      </c>
      <c r="T2">
        <v>305794000</v>
      </c>
      <c r="U2">
        <v>16857000</v>
      </c>
      <c r="V2">
        <v>1827000</v>
      </c>
      <c r="W2">
        <v>2906000</v>
      </c>
      <c r="X2">
        <f>SUM(T2:W2)</f>
        <v>327384000</v>
      </c>
      <c r="Y2">
        <v>3499191000</v>
      </c>
      <c r="Z2" s="5">
        <f>(S2-X2)/Y2</f>
        <v>0.37102575995422943</v>
      </c>
      <c r="AA2" s="4">
        <f>_xlfn.RANK.EQ(Z2,$Z$2:$Z$6,1)</f>
        <v>3</v>
      </c>
      <c r="AB2" t="s">
        <v>47</v>
      </c>
    </row>
    <row r="3" spans="1:28">
      <c r="A3" s="1" t="s">
        <v>11</v>
      </c>
      <c r="B3" s="1">
        <v>1951350</v>
      </c>
      <c r="C3" s="6">
        <v>46203</v>
      </c>
      <c r="D3">
        <v>180941000</v>
      </c>
      <c r="E3">
        <v>1232309000</v>
      </c>
      <c r="F3" s="5">
        <f>D3/E3</f>
        <v>0.1468308679073187</v>
      </c>
      <c r="G3">
        <v>2898621000</v>
      </c>
      <c r="H3" s="5">
        <f>D3/G3</f>
        <v>6.2423131551175542E-2</v>
      </c>
      <c r="I3">
        <v>827034000</v>
      </c>
      <c r="J3">
        <v>122307000</v>
      </c>
      <c r="K3">
        <v>675896000</v>
      </c>
      <c r="L3">
        <v>83822000</v>
      </c>
      <c r="M3">
        <v>623543000</v>
      </c>
      <c r="N3">
        <f>SUM(J3:M3)</f>
        <v>1505568000</v>
      </c>
      <c r="O3" s="5">
        <f>I3/N3</f>
        <v>0.54931693553529304</v>
      </c>
      <c r="P3">
        <v>2657000</v>
      </c>
      <c r="Q3">
        <v>3285000</v>
      </c>
      <c r="R3" s="5">
        <f>(P3+Q3)/I3</f>
        <v>7.1847106648577934E-3</v>
      </c>
      <c r="S3">
        <v>1479995000</v>
      </c>
      <c r="T3">
        <v>255650000</v>
      </c>
      <c r="U3">
        <v>61444000</v>
      </c>
      <c r="V3">
        <v>18750000</v>
      </c>
      <c r="W3">
        <v>993000</v>
      </c>
      <c r="X3">
        <f>SUM(T3:W3)</f>
        <v>336837000</v>
      </c>
      <c r="Y3">
        <v>2894654000</v>
      </c>
      <c r="Z3" s="5">
        <f>(S3-X3)/Y3</f>
        <v>0.39492042917737319</v>
      </c>
      <c r="AA3" s="4">
        <f>_xlfn.RANK.EQ(Z3,$Z$2:$Z$6,1)</f>
        <v>5</v>
      </c>
      <c r="AB3" t="s">
        <v>48</v>
      </c>
    </row>
    <row r="4" spans="1:28">
      <c r="A4" s="1" t="s">
        <v>13</v>
      </c>
      <c r="B4" s="1">
        <v>2380443</v>
      </c>
      <c r="C4" s="6">
        <v>46203</v>
      </c>
      <c r="D4">
        <v>114382000</v>
      </c>
      <c r="E4">
        <v>790640000</v>
      </c>
      <c r="F4" s="5">
        <f>D4/E4</f>
        <v>0.14467014064555297</v>
      </c>
      <c r="G4">
        <v>2105650000</v>
      </c>
      <c r="H4" s="5">
        <f>D4/G4</f>
        <v>5.4321468430175955E-2</v>
      </c>
      <c r="I4">
        <v>369041000</v>
      </c>
      <c r="J4">
        <v>144000</v>
      </c>
      <c r="K4">
        <v>433950000</v>
      </c>
      <c r="L4">
        <v>281000</v>
      </c>
      <c r="M4">
        <v>122181000</v>
      </c>
      <c r="N4">
        <f>SUM(J4:M4)</f>
        <v>556556000</v>
      </c>
      <c r="O4" s="5">
        <f>I4/N4</f>
        <v>0.66307972602936627</v>
      </c>
      <c r="P4">
        <v>346000</v>
      </c>
      <c r="Q4">
        <v>5000000</v>
      </c>
      <c r="R4" s="5">
        <f>(P4+Q4)/I4</f>
        <v>1.4486195300793137E-2</v>
      </c>
      <c r="S4">
        <v>1008751000</v>
      </c>
      <c r="T4">
        <v>167993000</v>
      </c>
      <c r="U4">
        <v>41731000</v>
      </c>
      <c r="V4">
        <v>3228000</v>
      </c>
      <c r="W4">
        <v>1168000</v>
      </c>
      <c r="X4">
        <f>SUM(T4:W4)</f>
        <v>214120000</v>
      </c>
      <c r="Y4">
        <v>2127711000</v>
      </c>
      <c r="Z4" s="5">
        <f>(S4-X4)/Y4</f>
        <v>0.37346754328947868</v>
      </c>
      <c r="AA4" s="4">
        <f>_xlfn.RANK.EQ(Z4,$Z$2:$Z$6,1)</f>
        <v>4</v>
      </c>
      <c r="AB4" t="s">
        <v>49</v>
      </c>
    </row>
    <row r="5" spans="1:28">
      <c r="A5" s="1" t="s">
        <v>15</v>
      </c>
      <c r="B5" s="1">
        <v>1039502</v>
      </c>
      <c r="C5" s="6">
        <v>46203</v>
      </c>
      <c r="D5">
        <v>322720000</v>
      </c>
      <c r="E5">
        <v>2132427745</v>
      </c>
      <c r="F5" s="5">
        <f>D5/E5</f>
        <v>0.15133924268088156</v>
      </c>
      <c r="G5">
        <v>4921814000</v>
      </c>
      <c r="H5" s="5">
        <f>D5/G5</f>
        <v>6.5569320579769982E-2</v>
      </c>
      <c r="I5">
        <v>1624665000</v>
      </c>
      <c r="J5">
        <v>625874000</v>
      </c>
      <c r="K5">
        <v>1500791000</v>
      </c>
      <c r="L5">
        <v>42044000</v>
      </c>
      <c r="M5">
        <v>544991000</v>
      </c>
      <c r="N5">
        <f>SUM(J5:M5)</f>
        <v>2713700000</v>
      </c>
      <c r="O5" s="5">
        <f>I5/N5</f>
        <v>0.59868998046946975</v>
      </c>
      <c r="P5">
        <v>2681000</v>
      </c>
      <c r="Q5">
        <v>9589000</v>
      </c>
      <c r="R5" s="5">
        <f>(P5+Q5)/I5</f>
        <v>7.5523261718569677E-3</v>
      </c>
      <c r="S5">
        <v>2312641000</v>
      </c>
      <c r="T5">
        <v>775087000</v>
      </c>
      <c r="U5">
        <v>35060000</v>
      </c>
      <c r="V5">
        <v>11244000</v>
      </c>
      <c r="W5">
        <v>3011000</v>
      </c>
      <c r="X5">
        <f>SUM(T5:W5)</f>
        <v>824402000</v>
      </c>
      <c r="Y5">
        <v>5015069000</v>
      </c>
      <c r="Z5" s="5">
        <f>(S5-X5)/Y5</f>
        <v>0.29675344446905916</v>
      </c>
      <c r="AA5" s="4">
        <f>_xlfn.RANK.EQ(Z5,$Z$2:$Z$6,1)</f>
        <v>1</v>
      </c>
      <c r="AB5" t="s">
        <v>50</v>
      </c>
    </row>
    <row r="6" spans="1:28">
      <c r="A6" s="1" t="s">
        <v>17</v>
      </c>
      <c r="B6" s="1">
        <v>1120754</v>
      </c>
      <c r="C6" s="6">
        <v>46203</v>
      </c>
      <c r="D6">
        <v>152737000</v>
      </c>
      <c r="E6">
        <v>1342324680</v>
      </c>
      <c r="F6" s="5">
        <f>D6/E6</f>
        <v>0.11378543676929191</v>
      </c>
      <c r="G6">
        <v>2199518000</v>
      </c>
      <c r="H6" s="5">
        <f>D6/G6</f>
        <v>6.9441123009677572E-2</v>
      </c>
      <c r="I6">
        <v>1033918000</v>
      </c>
      <c r="J6">
        <v>370061000</v>
      </c>
      <c r="K6">
        <v>1123160000</v>
      </c>
      <c r="L6">
        <v>126000</v>
      </c>
      <c r="M6">
        <v>8129000</v>
      </c>
      <c r="N6">
        <f>SUM(J6:M6)</f>
        <v>1501476000</v>
      </c>
      <c r="O6" s="5">
        <f>I6/N6</f>
        <v>0.68860108320079705</v>
      </c>
      <c r="P6">
        <v>2966000</v>
      </c>
      <c r="Q6">
        <v>7681000</v>
      </c>
      <c r="R6" s="5">
        <f>(P6+Q6)/I6</f>
        <v>1.0297721869626025E-2</v>
      </c>
      <c r="S6">
        <v>1029546000</v>
      </c>
      <c r="T6">
        <v>180219000</v>
      </c>
      <c r="U6">
        <v>15340000</v>
      </c>
      <c r="V6">
        <v>5975000</v>
      </c>
      <c r="W6">
        <v>396000</v>
      </c>
      <c r="X6">
        <f>SUM(T6:W6)</f>
        <v>201930000</v>
      </c>
      <c r="Y6">
        <v>2282201000</v>
      </c>
      <c r="Z6" s="5">
        <f>(S6-X6)/Y6</f>
        <v>0.3626393994218739</v>
      </c>
      <c r="AA6" s="4">
        <f>_xlfn.RANK.EQ(Z6,$Z$2:$Z$6,1)</f>
        <v>2</v>
      </c>
      <c r="AB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18D8-5A40-49F0-A776-F96CED25873A}">
  <dimension ref="A1"/>
  <sheetViews>
    <sheetView tabSelected="1" workbookViewId="0">
      <selection activeCell="K30" sqref="K30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RSSD_Lookup</vt:lpstr>
      <vt:lpstr>Metrics</vt:lpstr>
      <vt:lpstr>Exposure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Ziye Luo</dc:creator>
  <cp:lastModifiedBy>Ziye Luo</cp:lastModifiedBy>
  <dcterms:created xsi:type="dcterms:W3CDTF">2026-09-21T21:14:51Z</dcterms:created>
  <dcterms:modified xsi:type="dcterms:W3CDTF">2026-09-21T21:53:53Z</dcterms:modified>
</cp:coreProperties>
</file>